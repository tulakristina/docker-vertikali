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.Dikaviciene\Desktop\2022 m. statistika\"/>
    </mc:Choice>
  </mc:AlternateContent>
  <bookViews>
    <workbookView xWindow="0" yWindow="0" windowWidth="20490" windowHeight="7020" firstSheet="26" activeTab="29"/>
  </bookViews>
  <sheets>
    <sheet name="BENDROJI" sheetId="41" r:id="rId1"/>
    <sheet name="LNB_LAB_AVB" sheetId="2" r:id="rId2"/>
    <sheet name="SAVIVALDYBIŲ VIEŠOSIOS" sheetId="3" r:id="rId3"/>
    <sheet name="VIEŠOSIOS" sheetId="4" r:id="rId4"/>
    <sheet name="MIESTŲ_FIL" sheetId="5" r:id="rId5"/>
    <sheet name="KAIMO_FIL" sheetId="7" r:id="rId6"/>
    <sheet name="VAIKŲ_FIL" sheetId="6" r:id="rId7"/>
    <sheet name="FILIALAI SU MOKYKLOMIS" sheetId="8" r:id="rId8"/>
    <sheet name="MUZIEJŲ, KULTŪROS ĮSTAIGŲ" sheetId="9" r:id="rId9"/>
    <sheet name="LMAB,LMIB" sheetId="10" r:id="rId10"/>
    <sheet name="SPECIALIOSIOS" sheetId="11" r:id="rId11"/>
    <sheet name="AMB_VALSTB_NEVALSTB" sheetId="12" r:id="rId12"/>
    <sheet name="VALST_AMB_KB" sheetId="38" r:id="rId13"/>
    <sheet name="VALST_UB" sheetId="13" r:id="rId14"/>
    <sheet name="VALSTB_KB" sheetId="14" r:id="rId15"/>
    <sheet name="NEVALST_AMB_KB" sheetId="15" r:id="rId16"/>
    <sheet name="NEVALST_AMB" sheetId="17" r:id="rId17"/>
    <sheet name="NEVALST_KB" sheetId="16" r:id="rId18"/>
    <sheet name="PROFESINIŲ_MOKYKLŲ" sheetId="18" r:id="rId19"/>
    <sheet name="ŠĮB" sheetId="19" r:id="rId20"/>
    <sheet name="SAV+VALST+NEVALST" sheetId="20" r:id="rId21"/>
    <sheet name="SAV_BUMB" sheetId="21" r:id="rId22"/>
    <sheet name="GIMNAZIJŲ" sheetId="24" r:id="rId23"/>
    <sheet name="PROGIMNAZIJŲ" sheetId="25" r:id="rId24"/>
    <sheet name="PAGRINDINIŲ" sheetId="26" r:id="rId25"/>
    <sheet name="PRADINIŲ" sheetId="27" r:id="rId26"/>
    <sheet name="VALST_BUMB" sheetId="28" r:id="rId27"/>
    <sheet name="VALST_GB" sheetId="29" r:id="rId28"/>
    <sheet name="VALST_PGMB" sheetId="31" r:id="rId29"/>
    <sheet name="NEVALST_BUMB" sheetId="32" r:id="rId30"/>
    <sheet name="NEVALST_GB" sheetId="33" r:id="rId31"/>
    <sheet name="NVŠĮB" sheetId="34" r:id="rId32"/>
    <sheet name="PŠCB" sheetId="35" r:id="rId33"/>
    <sheet name="ŠPTB" sheetId="39" r:id="rId34"/>
    <sheet name="VGNB" sheetId="36" r:id="rId35"/>
  </sheets>
  <externalReferences>
    <externalReference r:id="rId36"/>
  </externalReferences>
  <definedNames>
    <definedName name="_xlnm.Print_Area" localSheetId="31">NVŠĮB!$B$2:$J$51,NVŠĮB!$B$67:$J$110</definedName>
    <definedName name="_xlnm.Print_Area" localSheetId="33">ŠPTB!$B$2:$J$24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4" i="41" l="1"/>
  <c r="T74" i="41"/>
  <c r="S74" i="41"/>
  <c r="R74" i="41"/>
  <c r="Q74" i="41"/>
  <c r="P74" i="41"/>
  <c r="O74" i="41"/>
  <c r="N74" i="41"/>
  <c r="U69" i="41"/>
  <c r="T69" i="41"/>
  <c r="S69" i="41"/>
  <c r="R69" i="41"/>
  <c r="Q69" i="41"/>
  <c r="P69" i="41"/>
  <c r="O69" i="41"/>
  <c r="N69" i="41"/>
  <c r="U63" i="41"/>
  <c r="T63" i="41"/>
  <c r="S63" i="41"/>
  <c r="R63" i="41"/>
  <c r="Q63" i="41"/>
  <c r="P63" i="41"/>
  <c r="O63" i="41"/>
  <c r="N63" i="41"/>
  <c r="U62" i="41"/>
  <c r="T62" i="41"/>
  <c r="S62" i="41"/>
  <c r="R62" i="41"/>
  <c r="Q62" i="41"/>
  <c r="P62" i="41"/>
  <c r="O62" i="41"/>
  <c r="N62" i="41"/>
  <c r="U61" i="41"/>
  <c r="T61" i="41"/>
  <c r="S61" i="41"/>
  <c r="R61" i="41"/>
  <c r="Q61" i="41"/>
  <c r="P61" i="41"/>
  <c r="O61" i="41"/>
  <c r="N61" i="41"/>
  <c r="U60" i="41"/>
  <c r="T60" i="41"/>
  <c r="S60" i="41"/>
  <c r="R60" i="41"/>
  <c r="Q60" i="41"/>
  <c r="P60" i="41"/>
  <c r="O60" i="41"/>
  <c r="N60" i="41"/>
  <c r="U59" i="41"/>
  <c r="T59" i="41"/>
  <c r="S59" i="41"/>
  <c r="R59" i="41"/>
  <c r="Q59" i="41"/>
  <c r="P59" i="41"/>
  <c r="O59" i="41"/>
  <c r="N59" i="41"/>
  <c r="U58" i="41"/>
  <c r="T58" i="41"/>
  <c r="S58" i="41"/>
  <c r="R58" i="41"/>
  <c r="Q58" i="41"/>
  <c r="P58" i="41"/>
  <c r="O58" i="41"/>
  <c r="N58" i="41"/>
  <c r="U57" i="41"/>
  <c r="T57" i="41"/>
  <c r="S57" i="41"/>
  <c r="R57" i="41"/>
  <c r="Q57" i="41"/>
  <c r="P57" i="41"/>
  <c r="O57" i="41"/>
  <c r="N57" i="41"/>
  <c r="U53" i="41"/>
  <c r="T53" i="41"/>
  <c r="S53" i="41"/>
  <c r="R53" i="41"/>
  <c r="Q53" i="41"/>
  <c r="P53" i="41"/>
  <c r="O53" i="41"/>
  <c r="N53" i="41"/>
  <c r="U50" i="41"/>
  <c r="T50" i="41"/>
  <c r="S50" i="41"/>
  <c r="R50" i="41"/>
  <c r="Q50" i="41"/>
  <c r="P50" i="41"/>
  <c r="O50" i="41"/>
  <c r="N50" i="41"/>
  <c r="U49" i="41"/>
  <c r="T49" i="41"/>
  <c r="S49" i="41"/>
  <c r="R49" i="41"/>
  <c r="Q49" i="41"/>
  <c r="P49" i="41"/>
  <c r="O49" i="41"/>
  <c r="N49" i="41"/>
  <c r="U48" i="41"/>
  <c r="T48" i="41"/>
  <c r="S48" i="41"/>
  <c r="R48" i="41"/>
  <c r="Q48" i="41"/>
  <c r="P48" i="41"/>
  <c r="O48" i="41"/>
  <c r="N48" i="41"/>
  <c r="U47" i="41"/>
  <c r="T47" i="41"/>
  <c r="S47" i="41"/>
  <c r="R47" i="41"/>
  <c r="Q47" i="41"/>
  <c r="P47" i="41"/>
  <c r="O47" i="41"/>
  <c r="N47" i="41"/>
  <c r="U34" i="41"/>
  <c r="T34" i="41"/>
  <c r="S34" i="41"/>
  <c r="R34" i="41"/>
  <c r="Q34" i="41"/>
  <c r="P34" i="41"/>
  <c r="O34" i="41"/>
  <c r="N34" i="41"/>
  <c r="U31" i="41"/>
  <c r="T31" i="41"/>
  <c r="S31" i="41"/>
  <c r="R31" i="41"/>
  <c r="Q31" i="41"/>
  <c r="P31" i="41"/>
  <c r="O31" i="41"/>
  <c r="N31" i="41"/>
  <c r="U28" i="41"/>
  <c r="T28" i="41"/>
  <c r="S28" i="41"/>
  <c r="R28" i="41"/>
  <c r="Q28" i="41"/>
  <c r="P28" i="41"/>
  <c r="O28" i="41"/>
  <c r="N28" i="41"/>
  <c r="U27" i="41"/>
  <c r="T27" i="41"/>
  <c r="S27" i="41"/>
  <c r="R27" i="41"/>
  <c r="Q27" i="41"/>
  <c r="P27" i="41"/>
  <c r="O27" i="41"/>
  <c r="N27" i="41"/>
  <c r="U24" i="41"/>
  <c r="U46" i="41" s="1"/>
  <c r="T24" i="41"/>
  <c r="T46" i="41" s="1"/>
  <c r="S24" i="41"/>
  <c r="S46" i="41" s="1"/>
  <c r="R24" i="41"/>
  <c r="R46" i="41" s="1"/>
  <c r="Q24" i="41"/>
  <c r="Q46" i="41" s="1"/>
  <c r="P24" i="41"/>
  <c r="P46" i="41" s="1"/>
  <c r="O24" i="41"/>
  <c r="O46" i="41" s="1"/>
  <c r="N24" i="41"/>
  <c r="N46" i="41" s="1"/>
  <c r="U16" i="41"/>
  <c r="T16" i="41"/>
  <c r="S16" i="41"/>
  <c r="R16" i="41"/>
  <c r="Q16" i="41"/>
  <c r="P16" i="41"/>
  <c r="O16" i="41"/>
  <c r="N16" i="41"/>
  <c r="U12" i="41"/>
  <c r="U38" i="41" s="1"/>
  <c r="U81" i="41" s="1"/>
  <c r="T12" i="41"/>
  <c r="T38" i="41" s="1"/>
  <c r="T81" i="41" s="1"/>
  <c r="S12" i="41"/>
  <c r="S38" i="41" s="1"/>
  <c r="S81" i="41" s="1"/>
  <c r="R12" i="41"/>
  <c r="R38" i="41" s="1"/>
  <c r="R81" i="41" s="1"/>
  <c r="Q12" i="41"/>
  <c r="Q38" i="41" s="1"/>
  <c r="Q81" i="41" s="1"/>
  <c r="P12" i="41"/>
  <c r="P38" i="41" s="1"/>
  <c r="P81" i="41" s="1"/>
  <c r="O12" i="41"/>
  <c r="O38" i="41" s="1"/>
  <c r="O81" i="41" s="1"/>
  <c r="N12" i="41"/>
  <c r="N38" i="41" s="1"/>
  <c r="N81" i="41" s="1"/>
  <c r="H21" i="10" l="1"/>
  <c r="I21" i="10"/>
  <c r="J21" i="10"/>
  <c r="J44" i="38" l="1"/>
  <c r="J46" i="38" s="1"/>
  <c r="I44" i="38"/>
  <c r="I46" i="38" s="1"/>
  <c r="H44" i="38"/>
  <c r="H46" i="38" s="1"/>
  <c r="G44" i="38"/>
  <c r="G46" i="38" s="1"/>
  <c r="F44" i="38"/>
  <c r="F46" i="38" s="1"/>
  <c r="E44" i="38"/>
  <c r="E46" i="38" s="1"/>
  <c r="D44" i="38"/>
  <c r="D46" i="38" s="1"/>
  <c r="C44" i="38"/>
  <c r="C46" i="38" s="1"/>
  <c r="J23" i="38"/>
  <c r="J25" i="38" s="1"/>
  <c r="I23" i="38"/>
  <c r="I25" i="38" s="1"/>
  <c r="H23" i="38"/>
  <c r="H25" i="38" s="1"/>
  <c r="G23" i="38"/>
  <c r="G25" i="38" s="1"/>
  <c r="F23" i="38"/>
  <c r="F25" i="38" s="1"/>
  <c r="E23" i="38"/>
  <c r="E25" i="38" s="1"/>
  <c r="D23" i="38"/>
  <c r="D25" i="38" s="1"/>
  <c r="C23" i="38"/>
  <c r="C25" i="38" s="1"/>
  <c r="J33" i="15"/>
  <c r="J35" i="15" s="1"/>
  <c r="I33" i="15"/>
  <c r="I35" i="15" s="1"/>
  <c r="H33" i="15"/>
  <c r="H35" i="15" s="1"/>
  <c r="G33" i="15"/>
  <c r="G35" i="15" s="1"/>
  <c r="F33" i="15"/>
  <c r="F35" i="15" s="1"/>
  <c r="E33" i="15"/>
  <c r="E35" i="15" s="1"/>
  <c r="D33" i="15"/>
  <c r="D35" i="15" s="1"/>
  <c r="C33" i="15"/>
  <c r="C35" i="15" s="1"/>
  <c r="J17" i="15"/>
  <c r="J19" i="15" s="1"/>
  <c r="I17" i="15"/>
  <c r="I19" i="15" s="1"/>
  <c r="H17" i="15"/>
  <c r="H19" i="15" s="1"/>
  <c r="G17" i="15"/>
  <c r="G19" i="15" s="1"/>
  <c r="F17" i="15"/>
  <c r="F19" i="15" s="1"/>
  <c r="E17" i="15"/>
  <c r="E19" i="15" s="1"/>
  <c r="D17" i="15"/>
  <c r="D19" i="15" s="1"/>
  <c r="C17" i="15"/>
  <c r="C19" i="15" s="1"/>
  <c r="E98" i="3" l="1"/>
  <c r="F98" i="3"/>
  <c r="G98" i="3"/>
  <c r="H98" i="3"/>
  <c r="I98" i="3"/>
  <c r="J98" i="3"/>
  <c r="E26" i="3"/>
  <c r="F26" i="3"/>
  <c r="D106" i="3" l="1"/>
  <c r="E106" i="3"/>
  <c r="F106" i="3"/>
  <c r="G106" i="3"/>
  <c r="H106" i="3"/>
  <c r="I106" i="3"/>
  <c r="J106" i="3"/>
  <c r="C106" i="3"/>
  <c r="D107" i="3"/>
  <c r="E107" i="3"/>
  <c r="F107" i="3"/>
  <c r="G107" i="3"/>
  <c r="H107" i="3"/>
  <c r="I107" i="3"/>
  <c r="J107" i="3"/>
  <c r="C107" i="3"/>
  <c r="D110" i="3"/>
  <c r="E110" i="3"/>
  <c r="F110" i="3"/>
  <c r="G110" i="3"/>
  <c r="H110" i="3"/>
  <c r="I110" i="3"/>
  <c r="J110" i="3"/>
  <c r="D109" i="3"/>
  <c r="E109" i="3"/>
  <c r="F109" i="3"/>
  <c r="G109" i="3"/>
  <c r="H109" i="3"/>
  <c r="I109" i="3"/>
  <c r="J109" i="3"/>
  <c r="C110" i="3"/>
  <c r="C109" i="3"/>
  <c r="D108" i="3"/>
  <c r="E108" i="3"/>
  <c r="F108" i="3"/>
  <c r="G108" i="3"/>
  <c r="H108" i="3"/>
  <c r="I108" i="3"/>
  <c r="J108" i="3"/>
  <c r="C108" i="3"/>
  <c r="D105" i="3"/>
  <c r="E105" i="3"/>
  <c r="F105" i="3"/>
  <c r="G105" i="3"/>
  <c r="H105" i="3"/>
  <c r="I105" i="3"/>
  <c r="J105" i="3"/>
  <c r="C105" i="3"/>
  <c r="D104" i="3"/>
  <c r="E104" i="3"/>
  <c r="F104" i="3"/>
  <c r="G104" i="3"/>
  <c r="H104" i="3"/>
  <c r="I104" i="3"/>
  <c r="J104" i="3"/>
  <c r="C104" i="3"/>
  <c r="D103" i="3"/>
  <c r="E103" i="3"/>
  <c r="F103" i="3"/>
  <c r="G103" i="3"/>
  <c r="H103" i="3"/>
  <c r="I103" i="3"/>
  <c r="J103" i="3"/>
  <c r="C103" i="3"/>
  <c r="D100" i="3"/>
  <c r="E100" i="3"/>
  <c r="F100" i="3"/>
  <c r="G100" i="3"/>
  <c r="H100" i="3"/>
  <c r="I100" i="3"/>
  <c r="J100" i="3"/>
  <c r="D99" i="3"/>
  <c r="E99" i="3"/>
  <c r="F99" i="3"/>
  <c r="G99" i="3"/>
  <c r="H99" i="3"/>
  <c r="I99" i="3"/>
  <c r="J99" i="3"/>
  <c r="C99" i="3"/>
  <c r="C100" i="3"/>
  <c r="D98" i="3"/>
  <c r="C98" i="3"/>
  <c r="D97" i="3"/>
  <c r="E97" i="3"/>
  <c r="F97" i="3"/>
  <c r="G97" i="3"/>
  <c r="H97" i="3"/>
  <c r="I97" i="3"/>
  <c r="J97" i="3"/>
  <c r="C97" i="3"/>
  <c r="D96" i="3"/>
  <c r="E96" i="3"/>
  <c r="F96" i="3"/>
  <c r="G96" i="3"/>
  <c r="H96" i="3"/>
  <c r="I96" i="3"/>
  <c r="J96" i="3"/>
  <c r="C96" i="3"/>
  <c r="D95" i="3"/>
  <c r="E95" i="3"/>
  <c r="F95" i="3"/>
  <c r="G95" i="3"/>
  <c r="H95" i="3"/>
  <c r="I95" i="3"/>
  <c r="J95" i="3"/>
  <c r="C95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C92" i="3"/>
  <c r="C91" i="3"/>
  <c r="D90" i="3"/>
  <c r="E90" i="3"/>
  <c r="F90" i="3"/>
  <c r="G90" i="3"/>
  <c r="H90" i="3"/>
  <c r="I90" i="3"/>
  <c r="J90" i="3"/>
  <c r="C90" i="3"/>
  <c r="D89" i="3"/>
  <c r="E89" i="3"/>
  <c r="F89" i="3"/>
  <c r="G89" i="3"/>
  <c r="H89" i="3"/>
  <c r="I89" i="3"/>
  <c r="J89" i="3"/>
  <c r="C89" i="3"/>
  <c r="D86" i="3"/>
  <c r="E86" i="3"/>
  <c r="F86" i="3"/>
  <c r="G86" i="3"/>
  <c r="H86" i="3"/>
  <c r="I86" i="3"/>
  <c r="J86" i="3"/>
  <c r="C86" i="3"/>
  <c r="D85" i="3"/>
  <c r="E85" i="3"/>
  <c r="F85" i="3"/>
  <c r="G85" i="3"/>
  <c r="H85" i="3"/>
  <c r="I85" i="3"/>
  <c r="J85" i="3"/>
  <c r="D84" i="3"/>
  <c r="E84" i="3"/>
  <c r="F84" i="3"/>
  <c r="G84" i="3"/>
  <c r="H84" i="3"/>
  <c r="I84" i="3"/>
  <c r="J84" i="3"/>
  <c r="C85" i="3"/>
  <c r="C84" i="3"/>
  <c r="D83" i="3"/>
  <c r="E83" i="3"/>
  <c r="F83" i="3"/>
  <c r="G83" i="3"/>
  <c r="H83" i="3"/>
  <c r="I83" i="3"/>
  <c r="J83" i="3"/>
  <c r="C83" i="3"/>
  <c r="D80" i="3"/>
  <c r="E80" i="3"/>
  <c r="F80" i="3"/>
  <c r="G80" i="3"/>
  <c r="H80" i="3"/>
  <c r="I80" i="3"/>
  <c r="J80" i="3"/>
  <c r="D79" i="3"/>
  <c r="E79" i="3"/>
  <c r="F79" i="3"/>
  <c r="G79" i="3"/>
  <c r="H79" i="3"/>
  <c r="I79" i="3"/>
  <c r="J79" i="3"/>
  <c r="C79" i="3"/>
  <c r="D78" i="3"/>
  <c r="E78" i="3"/>
  <c r="F78" i="3"/>
  <c r="G78" i="3"/>
  <c r="H78" i="3"/>
  <c r="I78" i="3"/>
  <c r="J78" i="3"/>
  <c r="D77" i="3"/>
  <c r="E77" i="3"/>
  <c r="F77" i="3"/>
  <c r="G77" i="3"/>
  <c r="H77" i="3"/>
  <c r="I77" i="3"/>
  <c r="J77" i="3"/>
  <c r="D76" i="3"/>
  <c r="E76" i="3"/>
  <c r="F76" i="3"/>
  <c r="G76" i="3"/>
  <c r="H76" i="3"/>
  <c r="I76" i="3"/>
  <c r="J76" i="3"/>
  <c r="D75" i="3"/>
  <c r="E75" i="3"/>
  <c r="F75" i="3"/>
  <c r="G75" i="3"/>
  <c r="H75" i="3"/>
  <c r="I75" i="3"/>
  <c r="J75" i="3"/>
  <c r="D74" i="3"/>
  <c r="E74" i="3"/>
  <c r="F74" i="3"/>
  <c r="G74" i="3"/>
  <c r="H74" i="3"/>
  <c r="I74" i="3"/>
  <c r="J74" i="3"/>
  <c r="C75" i="3"/>
  <c r="C76" i="3"/>
  <c r="C77" i="3"/>
  <c r="C78" i="3"/>
  <c r="C80" i="3"/>
  <c r="C74" i="3"/>
  <c r="D52" i="3"/>
  <c r="E52" i="3"/>
  <c r="F52" i="3"/>
  <c r="G52" i="3"/>
  <c r="H52" i="3"/>
  <c r="I52" i="3"/>
  <c r="J52" i="3"/>
  <c r="D51" i="3"/>
  <c r="E51" i="3"/>
  <c r="F51" i="3"/>
  <c r="G51" i="3"/>
  <c r="H51" i="3"/>
  <c r="I51" i="3"/>
  <c r="J51" i="3"/>
  <c r="D50" i="3"/>
  <c r="E50" i="3"/>
  <c r="F50" i="3"/>
  <c r="G50" i="3"/>
  <c r="H50" i="3"/>
  <c r="I50" i="3"/>
  <c r="J50" i="3"/>
  <c r="C48" i="3"/>
  <c r="D49" i="3"/>
  <c r="E49" i="3"/>
  <c r="F49" i="3"/>
  <c r="G49" i="3"/>
  <c r="H49" i="3"/>
  <c r="I49" i="3"/>
  <c r="J49" i="3"/>
  <c r="C49" i="3"/>
  <c r="D48" i="3"/>
  <c r="E48" i="3"/>
  <c r="F48" i="3"/>
  <c r="G48" i="3"/>
  <c r="H48" i="3"/>
  <c r="I48" i="3"/>
  <c r="J48" i="3"/>
  <c r="D47" i="3"/>
  <c r="E47" i="3"/>
  <c r="F47" i="3"/>
  <c r="G47" i="3"/>
  <c r="H47" i="3"/>
  <c r="I47" i="3"/>
  <c r="J47" i="3"/>
  <c r="C50" i="3"/>
  <c r="C51" i="3"/>
  <c r="C52" i="3"/>
  <c r="C47" i="3"/>
  <c r="D44" i="3"/>
  <c r="E44" i="3"/>
  <c r="F44" i="3"/>
  <c r="G44" i="3"/>
  <c r="H44" i="3"/>
  <c r="I44" i="3"/>
  <c r="J44" i="3"/>
  <c r="C44" i="3"/>
  <c r="D43" i="3"/>
  <c r="E43" i="3"/>
  <c r="F43" i="3"/>
  <c r="G43" i="3"/>
  <c r="H43" i="3"/>
  <c r="I43" i="3"/>
  <c r="J43" i="3"/>
  <c r="D42" i="3"/>
  <c r="E42" i="3"/>
  <c r="F42" i="3"/>
  <c r="G42" i="3"/>
  <c r="H42" i="3"/>
  <c r="I42" i="3"/>
  <c r="J42" i="3"/>
  <c r="C42" i="3"/>
  <c r="C43" i="3"/>
  <c r="D41" i="3"/>
  <c r="E41" i="3"/>
  <c r="F41" i="3"/>
  <c r="G41" i="3"/>
  <c r="H41" i="3"/>
  <c r="I41" i="3"/>
  <c r="J41" i="3"/>
  <c r="D40" i="3"/>
  <c r="E40" i="3"/>
  <c r="F40" i="3"/>
  <c r="G40" i="3"/>
  <c r="H40" i="3"/>
  <c r="I40" i="3"/>
  <c r="J40" i="3"/>
  <c r="C41" i="3"/>
  <c r="C40" i="3"/>
  <c r="D34" i="3"/>
  <c r="E34" i="3"/>
  <c r="F34" i="3"/>
  <c r="G34" i="3"/>
  <c r="H34" i="3"/>
  <c r="I34" i="3"/>
  <c r="J34" i="3"/>
  <c r="C34" i="3"/>
  <c r="D33" i="3"/>
  <c r="E33" i="3"/>
  <c r="F33" i="3"/>
  <c r="G33" i="3"/>
  <c r="H33" i="3"/>
  <c r="I33" i="3"/>
  <c r="J33" i="3"/>
  <c r="D32" i="3"/>
  <c r="E32" i="3"/>
  <c r="F32" i="3"/>
  <c r="G32" i="3"/>
  <c r="H32" i="3"/>
  <c r="I32" i="3"/>
  <c r="J32" i="3"/>
  <c r="D31" i="3"/>
  <c r="E31" i="3"/>
  <c r="F31" i="3"/>
  <c r="G31" i="3"/>
  <c r="H31" i="3"/>
  <c r="I31" i="3"/>
  <c r="J31" i="3"/>
  <c r="C31" i="3"/>
  <c r="D36" i="3"/>
  <c r="E36" i="3"/>
  <c r="F36" i="3"/>
  <c r="G36" i="3"/>
  <c r="H36" i="3"/>
  <c r="I36" i="3"/>
  <c r="J36" i="3"/>
  <c r="C36" i="3"/>
  <c r="D37" i="3"/>
  <c r="E37" i="3"/>
  <c r="F37" i="3"/>
  <c r="G37" i="3"/>
  <c r="H37" i="3"/>
  <c r="I37" i="3"/>
  <c r="J37" i="3"/>
  <c r="C37" i="3"/>
  <c r="D35" i="3"/>
  <c r="E35" i="3"/>
  <c r="F35" i="3"/>
  <c r="G35" i="3"/>
  <c r="H35" i="3"/>
  <c r="I35" i="3"/>
  <c r="J35" i="3"/>
  <c r="C35" i="3"/>
  <c r="C32" i="3"/>
  <c r="C33" i="3"/>
  <c r="J22" i="3"/>
  <c r="J23" i="3"/>
  <c r="J24" i="3"/>
  <c r="J25" i="3"/>
  <c r="J26" i="3"/>
  <c r="J27" i="3"/>
  <c r="J28" i="3"/>
  <c r="I22" i="3"/>
  <c r="I23" i="3"/>
  <c r="I24" i="3"/>
  <c r="I25" i="3"/>
  <c r="I26" i="3"/>
  <c r="I27" i="3"/>
  <c r="I28" i="3"/>
  <c r="H22" i="3"/>
  <c r="H23" i="3"/>
  <c r="H24" i="3"/>
  <c r="H25" i="3"/>
  <c r="H26" i="3"/>
  <c r="H27" i="3"/>
  <c r="H28" i="3"/>
  <c r="G22" i="3"/>
  <c r="G23" i="3"/>
  <c r="G24" i="3"/>
  <c r="G25" i="3"/>
  <c r="G26" i="3"/>
  <c r="G27" i="3"/>
  <c r="G28" i="3"/>
  <c r="F22" i="3"/>
  <c r="F23" i="3"/>
  <c r="F24" i="3"/>
  <c r="F25" i="3"/>
  <c r="F27" i="3"/>
  <c r="F28" i="3"/>
  <c r="E22" i="3"/>
  <c r="E23" i="3"/>
  <c r="E24" i="3"/>
  <c r="E25" i="3"/>
  <c r="E27" i="3"/>
  <c r="E28" i="3"/>
  <c r="D22" i="3"/>
  <c r="D23" i="3"/>
  <c r="D24" i="3"/>
  <c r="D25" i="3"/>
  <c r="D26" i="3"/>
  <c r="D27" i="3"/>
  <c r="D28" i="3"/>
  <c r="C22" i="3"/>
  <c r="C23" i="3"/>
  <c r="C24" i="3"/>
  <c r="C25" i="3"/>
  <c r="C26" i="3"/>
  <c r="C27" i="3"/>
  <c r="C28" i="3"/>
  <c r="D21" i="3"/>
  <c r="E21" i="3"/>
  <c r="F21" i="3"/>
  <c r="G21" i="3"/>
  <c r="H21" i="3"/>
  <c r="I21" i="3"/>
  <c r="J21" i="3"/>
  <c r="C21" i="3"/>
  <c r="C14" i="3"/>
  <c r="D18" i="3"/>
  <c r="E18" i="3"/>
  <c r="F18" i="3"/>
  <c r="G18" i="3"/>
  <c r="H18" i="3"/>
  <c r="I18" i="3"/>
  <c r="J18" i="3"/>
  <c r="C18" i="3"/>
  <c r="J15" i="3"/>
  <c r="J16" i="3"/>
  <c r="J17" i="3"/>
  <c r="I15" i="3"/>
  <c r="I16" i="3"/>
  <c r="I17" i="3"/>
  <c r="H15" i="3"/>
  <c r="H16" i="3"/>
  <c r="H17" i="3"/>
  <c r="G15" i="3"/>
  <c r="G16" i="3"/>
  <c r="G17" i="3"/>
  <c r="F15" i="3"/>
  <c r="F16" i="3"/>
  <c r="F17" i="3"/>
  <c r="E15" i="3"/>
  <c r="E16" i="3"/>
  <c r="E17" i="3"/>
  <c r="D15" i="3"/>
  <c r="D16" i="3"/>
  <c r="D17" i="3"/>
  <c r="C15" i="3"/>
  <c r="C16" i="3"/>
  <c r="C17" i="3"/>
  <c r="D14" i="3"/>
  <c r="E14" i="3"/>
  <c r="F14" i="3"/>
  <c r="G14" i="3"/>
  <c r="H14" i="3"/>
  <c r="I14" i="3"/>
  <c r="J14" i="3"/>
  <c r="H22" i="19" l="1"/>
  <c r="I22" i="19"/>
  <c r="J22" i="19"/>
  <c r="C22" i="19"/>
  <c r="I109" i="19"/>
  <c r="J109" i="19"/>
  <c r="C109" i="19"/>
  <c r="H99" i="19"/>
  <c r="I99" i="19"/>
  <c r="J99" i="19"/>
  <c r="C99" i="19"/>
  <c r="D17" i="24" l="1"/>
  <c r="J22" i="28" l="1"/>
  <c r="C22" i="28"/>
  <c r="E22" i="28"/>
  <c r="F22" i="28"/>
  <c r="G22" i="28"/>
  <c r="H22" i="28"/>
  <c r="I22" i="28"/>
  <c r="D22" i="28"/>
  <c r="D102" i="28"/>
  <c r="J24" i="39" l="1"/>
  <c r="I24" i="39"/>
  <c r="H24" i="39"/>
  <c r="G24" i="39"/>
  <c r="F24" i="39"/>
  <c r="E24" i="39"/>
  <c r="D24" i="39"/>
  <c r="C24" i="39"/>
  <c r="J49" i="38" l="1"/>
  <c r="I49" i="38"/>
  <c r="H49" i="38"/>
  <c r="G49" i="38"/>
  <c r="F49" i="38"/>
  <c r="E49" i="38"/>
  <c r="D49" i="38"/>
  <c r="C49" i="38"/>
  <c r="F48" i="38"/>
  <c r="F50" i="38" s="1"/>
  <c r="I48" i="38" l="1"/>
  <c r="I50" i="38" s="1"/>
  <c r="H48" i="38"/>
  <c r="H50" i="38" s="1"/>
  <c r="C48" i="38"/>
  <c r="C50" i="38" s="1"/>
  <c r="G48" i="38"/>
  <c r="G50" i="38" s="1"/>
  <c r="D48" i="38"/>
  <c r="D50" i="38" s="1"/>
  <c r="E48" i="38"/>
  <c r="E50" i="38" s="1"/>
  <c r="J48" i="38"/>
  <c r="J50" i="38" s="1"/>
  <c r="D108" i="28"/>
  <c r="E108" i="28"/>
  <c r="F108" i="28"/>
  <c r="G108" i="28"/>
  <c r="H108" i="28"/>
  <c r="I108" i="28"/>
  <c r="J108" i="28"/>
  <c r="D107" i="28"/>
  <c r="E107" i="28"/>
  <c r="F107" i="28"/>
  <c r="G107" i="28"/>
  <c r="H107" i="28"/>
  <c r="I107" i="28"/>
  <c r="J107" i="28"/>
  <c r="E102" i="28"/>
  <c r="F102" i="28"/>
  <c r="G102" i="28"/>
  <c r="H102" i="28"/>
  <c r="I102" i="28"/>
  <c r="J102" i="28"/>
  <c r="C108" i="28"/>
  <c r="C107" i="28"/>
  <c r="C102" i="28"/>
  <c r="J59" i="32"/>
  <c r="I59" i="32"/>
  <c r="H59" i="32"/>
  <c r="G59" i="32"/>
  <c r="F59" i="32"/>
  <c r="E59" i="32"/>
  <c r="D59" i="32"/>
  <c r="C59" i="32"/>
  <c r="J52" i="32"/>
  <c r="I52" i="32"/>
  <c r="H52" i="32"/>
  <c r="G52" i="32"/>
  <c r="F52" i="32"/>
  <c r="E52" i="32"/>
  <c r="D52" i="32"/>
  <c r="C52" i="32"/>
  <c r="J44" i="32"/>
  <c r="I44" i="32"/>
  <c r="H44" i="32"/>
  <c r="G44" i="32"/>
  <c r="F44" i="32"/>
  <c r="E44" i="32"/>
  <c r="D44" i="32"/>
  <c r="C44" i="32"/>
  <c r="J36" i="32"/>
  <c r="I36" i="32"/>
  <c r="H36" i="32"/>
  <c r="G36" i="32"/>
  <c r="F36" i="32"/>
  <c r="E36" i="32"/>
  <c r="D36" i="32"/>
  <c r="C36" i="32"/>
  <c r="J26" i="32"/>
  <c r="I26" i="32"/>
  <c r="H26" i="32"/>
  <c r="G26" i="32"/>
  <c r="F26" i="32"/>
  <c r="E26" i="32"/>
  <c r="D26" i="32"/>
  <c r="C26" i="32"/>
  <c r="C142" i="32" l="1"/>
  <c r="J142" i="32"/>
  <c r="I142" i="32"/>
  <c r="G142" i="32"/>
  <c r="H142" i="32"/>
  <c r="D142" i="32"/>
  <c r="E142" i="32"/>
  <c r="F142" i="32"/>
  <c r="F19" i="3" l="1"/>
  <c r="J30" i="6" l="1"/>
  <c r="I30" i="6"/>
  <c r="C12" i="21" l="1"/>
  <c r="C12" i="20" s="1"/>
  <c r="C14" i="19" s="1"/>
  <c r="J102" i="21" l="1"/>
  <c r="J107" i="20" s="1"/>
  <c r="J107" i="19" s="1"/>
  <c r="J103" i="21"/>
  <c r="J108" i="20" s="1"/>
  <c r="J108" i="19" s="1"/>
  <c r="J104" i="21"/>
  <c r="J109" i="20" s="1"/>
  <c r="J105" i="21"/>
  <c r="J110" i="20" s="1"/>
  <c r="J110" i="19" s="1"/>
  <c r="J106" i="21"/>
  <c r="J111" i="20" s="1"/>
  <c r="J111" i="19" s="1"/>
  <c r="J107" i="21"/>
  <c r="J112" i="20" s="1"/>
  <c r="J112" i="19" s="1"/>
  <c r="J108" i="21"/>
  <c r="J113" i="20" s="1"/>
  <c r="J113" i="19" s="1"/>
  <c r="I102" i="21"/>
  <c r="I107" i="20" s="1"/>
  <c r="I107" i="19" s="1"/>
  <c r="I103" i="21"/>
  <c r="I108" i="20" s="1"/>
  <c r="I108" i="19" s="1"/>
  <c r="I104" i="21"/>
  <c r="I109" i="20" s="1"/>
  <c r="I105" i="21"/>
  <c r="I110" i="20" s="1"/>
  <c r="I110" i="19" s="1"/>
  <c r="I106" i="21"/>
  <c r="I111" i="20" s="1"/>
  <c r="I111" i="19" s="1"/>
  <c r="I107" i="21"/>
  <c r="I112" i="20" s="1"/>
  <c r="I112" i="19" s="1"/>
  <c r="I108" i="21"/>
  <c r="I113" i="20" s="1"/>
  <c r="I113" i="19" s="1"/>
  <c r="H102" i="21"/>
  <c r="H107" i="20" s="1"/>
  <c r="H107" i="19" s="1"/>
  <c r="H103" i="21"/>
  <c r="H108" i="20" s="1"/>
  <c r="H108" i="19" s="1"/>
  <c r="H104" i="21"/>
  <c r="H109" i="20" s="1"/>
  <c r="H109" i="19" s="1"/>
  <c r="H105" i="21"/>
  <c r="H110" i="20" s="1"/>
  <c r="H110" i="19" s="1"/>
  <c r="H106" i="21"/>
  <c r="H111" i="20" s="1"/>
  <c r="H111" i="19" s="1"/>
  <c r="H107" i="21"/>
  <c r="H112" i="20" s="1"/>
  <c r="H112" i="19" s="1"/>
  <c r="H108" i="21"/>
  <c r="H113" i="20" s="1"/>
  <c r="H113" i="19" s="1"/>
  <c r="G102" i="21"/>
  <c r="G107" i="20" s="1"/>
  <c r="G107" i="19" s="1"/>
  <c r="G103" i="21"/>
  <c r="G108" i="20" s="1"/>
  <c r="G108" i="19" s="1"/>
  <c r="G104" i="21"/>
  <c r="G109" i="20" s="1"/>
  <c r="G109" i="19" s="1"/>
  <c r="G105" i="21"/>
  <c r="G110" i="20" s="1"/>
  <c r="G110" i="19" s="1"/>
  <c r="G106" i="21"/>
  <c r="G111" i="20" s="1"/>
  <c r="G111" i="19" s="1"/>
  <c r="G107" i="21"/>
  <c r="G112" i="20" s="1"/>
  <c r="G112" i="19" s="1"/>
  <c r="G108" i="21"/>
  <c r="G113" i="20" s="1"/>
  <c r="G113" i="19" s="1"/>
  <c r="F102" i="21"/>
  <c r="F107" i="20" s="1"/>
  <c r="F107" i="19" s="1"/>
  <c r="F103" i="21"/>
  <c r="F108" i="20" s="1"/>
  <c r="F108" i="19" s="1"/>
  <c r="F104" i="21"/>
  <c r="F109" i="20" s="1"/>
  <c r="F109" i="19" s="1"/>
  <c r="F105" i="21"/>
  <c r="F110" i="20" s="1"/>
  <c r="F110" i="19" s="1"/>
  <c r="F106" i="21"/>
  <c r="F111" i="20" s="1"/>
  <c r="F111" i="19" s="1"/>
  <c r="F107" i="21"/>
  <c r="F112" i="20" s="1"/>
  <c r="F112" i="19" s="1"/>
  <c r="F108" i="21"/>
  <c r="F113" i="20" s="1"/>
  <c r="F113" i="19" s="1"/>
  <c r="E102" i="21"/>
  <c r="E107" i="20" s="1"/>
  <c r="E107" i="19" s="1"/>
  <c r="E103" i="21"/>
  <c r="E108" i="20" s="1"/>
  <c r="E108" i="19" s="1"/>
  <c r="E104" i="21"/>
  <c r="E109" i="20" s="1"/>
  <c r="E109" i="19" s="1"/>
  <c r="E105" i="21"/>
  <c r="E110" i="20" s="1"/>
  <c r="E110" i="19" s="1"/>
  <c r="E106" i="21"/>
  <c r="E111" i="20" s="1"/>
  <c r="E111" i="19" s="1"/>
  <c r="E107" i="21"/>
  <c r="E112" i="20" s="1"/>
  <c r="E112" i="19" s="1"/>
  <c r="E108" i="21"/>
  <c r="E113" i="20" s="1"/>
  <c r="E113" i="19" s="1"/>
  <c r="D102" i="21"/>
  <c r="D107" i="20" s="1"/>
  <c r="D107" i="19" s="1"/>
  <c r="D103" i="21"/>
  <c r="D108" i="20" s="1"/>
  <c r="D108" i="19" s="1"/>
  <c r="D104" i="21"/>
  <c r="D109" i="20" s="1"/>
  <c r="D109" i="19" s="1"/>
  <c r="D105" i="21"/>
  <c r="D110" i="20" s="1"/>
  <c r="D110" i="19" s="1"/>
  <c r="D106" i="21"/>
  <c r="D111" i="20" s="1"/>
  <c r="D111" i="19" s="1"/>
  <c r="D107" i="21"/>
  <c r="D112" i="20" s="1"/>
  <c r="D112" i="19" s="1"/>
  <c r="D108" i="21"/>
  <c r="D113" i="20" s="1"/>
  <c r="D113" i="19" s="1"/>
  <c r="C102" i="21"/>
  <c r="C107" i="20" s="1"/>
  <c r="C107" i="19" s="1"/>
  <c r="C103" i="21"/>
  <c r="C108" i="20" s="1"/>
  <c r="C108" i="19" s="1"/>
  <c r="C104" i="21"/>
  <c r="C109" i="20" s="1"/>
  <c r="C105" i="21"/>
  <c r="C110" i="20" s="1"/>
  <c r="C110" i="19" s="1"/>
  <c r="C106" i="21"/>
  <c r="C111" i="20" s="1"/>
  <c r="C111" i="19" s="1"/>
  <c r="C107" i="21"/>
  <c r="C112" i="20" s="1"/>
  <c r="C112" i="19" s="1"/>
  <c r="C108" i="21"/>
  <c r="C113" i="20" s="1"/>
  <c r="C113" i="19" s="1"/>
  <c r="D101" i="21"/>
  <c r="D106" i="20" s="1"/>
  <c r="D106" i="19" s="1"/>
  <c r="E101" i="21"/>
  <c r="E106" i="20" s="1"/>
  <c r="E106" i="19" s="1"/>
  <c r="F101" i="21"/>
  <c r="F106" i="20" s="1"/>
  <c r="F106" i="19" s="1"/>
  <c r="G101" i="21"/>
  <c r="G106" i="20" s="1"/>
  <c r="G106" i="19" s="1"/>
  <c r="H101" i="21"/>
  <c r="H106" i="20" s="1"/>
  <c r="H106" i="19" s="1"/>
  <c r="I101" i="21"/>
  <c r="I106" i="20" s="1"/>
  <c r="I106" i="19" s="1"/>
  <c r="J101" i="21"/>
  <c r="J106" i="20" s="1"/>
  <c r="J106" i="19" s="1"/>
  <c r="C101" i="21"/>
  <c r="C106" i="20" s="1"/>
  <c r="C106" i="19" s="1"/>
  <c r="J94" i="21"/>
  <c r="J99" i="20" s="1"/>
  <c r="J95" i="21"/>
  <c r="J100" i="20" s="1"/>
  <c r="J100" i="19" s="1"/>
  <c r="J96" i="21"/>
  <c r="J101" i="20" s="1"/>
  <c r="J101" i="19" s="1"/>
  <c r="J97" i="21"/>
  <c r="J102" i="20" s="1"/>
  <c r="J102" i="19" s="1"/>
  <c r="J98" i="21"/>
  <c r="J103" i="20" s="1"/>
  <c r="J103" i="19" s="1"/>
  <c r="I94" i="21"/>
  <c r="I99" i="20" s="1"/>
  <c r="I95" i="21"/>
  <c r="I100" i="20" s="1"/>
  <c r="I100" i="19" s="1"/>
  <c r="I96" i="21"/>
  <c r="I101" i="20" s="1"/>
  <c r="I101" i="19" s="1"/>
  <c r="I97" i="21"/>
  <c r="I102" i="20" s="1"/>
  <c r="I102" i="19" s="1"/>
  <c r="I98" i="21"/>
  <c r="I103" i="20" s="1"/>
  <c r="I103" i="19" s="1"/>
  <c r="H94" i="21"/>
  <c r="H99" i="20" s="1"/>
  <c r="H95" i="21"/>
  <c r="H100" i="20" s="1"/>
  <c r="H100" i="19" s="1"/>
  <c r="H96" i="21"/>
  <c r="H101" i="20" s="1"/>
  <c r="H101" i="19" s="1"/>
  <c r="H97" i="21"/>
  <c r="H102" i="20" s="1"/>
  <c r="H102" i="19" s="1"/>
  <c r="H98" i="21"/>
  <c r="H103" i="20" s="1"/>
  <c r="H103" i="19" s="1"/>
  <c r="G94" i="21"/>
  <c r="G99" i="20" s="1"/>
  <c r="G99" i="19" s="1"/>
  <c r="G95" i="21"/>
  <c r="G100" i="20" s="1"/>
  <c r="G100" i="19" s="1"/>
  <c r="G96" i="21"/>
  <c r="G101" i="20" s="1"/>
  <c r="G101" i="19" s="1"/>
  <c r="G97" i="21"/>
  <c r="G102" i="20" s="1"/>
  <c r="G102" i="19" s="1"/>
  <c r="G98" i="21"/>
  <c r="G103" i="20" s="1"/>
  <c r="G103" i="19" s="1"/>
  <c r="F94" i="21"/>
  <c r="F99" i="20" s="1"/>
  <c r="F99" i="19" s="1"/>
  <c r="F95" i="21"/>
  <c r="F100" i="20" s="1"/>
  <c r="F100" i="19" s="1"/>
  <c r="F96" i="21"/>
  <c r="F101" i="20" s="1"/>
  <c r="F101" i="19" s="1"/>
  <c r="F97" i="21"/>
  <c r="F102" i="20" s="1"/>
  <c r="F102" i="19" s="1"/>
  <c r="F98" i="21"/>
  <c r="F103" i="20" s="1"/>
  <c r="F103" i="19" s="1"/>
  <c r="E94" i="21"/>
  <c r="E99" i="20" s="1"/>
  <c r="E99" i="19" s="1"/>
  <c r="E95" i="21"/>
  <c r="E100" i="20" s="1"/>
  <c r="E100" i="19" s="1"/>
  <c r="E96" i="21"/>
  <c r="E101" i="20" s="1"/>
  <c r="E101" i="19" s="1"/>
  <c r="E97" i="21"/>
  <c r="E102" i="20" s="1"/>
  <c r="E102" i="19" s="1"/>
  <c r="E98" i="21"/>
  <c r="E103" i="20" s="1"/>
  <c r="E103" i="19" s="1"/>
  <c r="D94" i="21"/>
  <c r="D99" i="20" s="1"/>
  <c r="D99" i="19" s="1"/>
  <c r="D95" i="21"/>
  <c r="D100" i="20" s="1"/>
  <c r="D100" i="19" s="1"/>
  <c r="D96" i="21"/>
  <c r="D101" i="20" s="1"/>
  <c r="D101" i="19" s="1"/>
  <c r="D97" i="21"/>
  <c r="D102" i="20" s="1"/>
  <c r="D102" i="19" s="1"/>
  <c r="D98" i="21"/>
  <c r="D103" i="20" s="1"/>
  <c r="D103" i="19" s="1"/>
  <c r="C94" i="21"/>
  <c r="C99" i="20" s="1"/>
  <c r="C95" i="21"/>
  <c r="C100" i="20" s="1"/>
  <c r="C100" i="19" s="1"/>
  <c r="C96" i="21"/>
  <c r="C101" i="20" s="1"/>
  <c r="C101" i="19" s="1"/>
  <c r="C97" i="21"/>
  <c r="C102" i="20" s="1"/>
  <c r="C102" i="19" s="1"/>
  <c r="C98" i="21"/>
  <c r="C103" i="20" s="1"/>
  <c r="C103" i="19" s="1"/>
  <c r="D93" i="21"/>
  <c r="D98" i="20" s="1"/>
  <c r="D98" i="19" s="1"/>
  <c r="E93" i="21"/>
  <c r="E98" i="20" s="1"/>
  <c r="E98" i="19" s="1"/>
  <c r="F93" i="21"/>
  <c r="F98" i="20" s="1"/>
  <c r="F98" i="19" s="1"/>
  <c r="G93" i="21"/>
  <c r="G98" i="20" s="1"/>
  <c r="G98" i="19" s="1"/>
  <c r="H93" i="21"/>
  <c r="H98" i="20" s="1"/>
  <c r="H98" i="19" s="1"/>
  <c r="I93" i="21"/>
  <c r="I98" i="20" s="1"/>
  <c r="I98" i="19" s="1"/>
  <c r="J93" i="21"/>
  <c r="J98" i="20" s="1"/>
  <c r="J98" i="19" s="1"/>
  <c r="C93" i="21"/>
  <c r="C98" i="20" s="1"/>
  <c r="C98" i="19" s="1"/>
  <c r="J88" i="21"/>
  <c r="J93" i="20" s="1"/>
  <c r="J93" i="19" s="1"/>
  <c r="J89" i="21"/>
  <c r="J94" i="20" s="1"/>
  <c r="J94" i="19" s="1"/>
  <c r="J90" i="21"/>
  <c r="J95" i="20" s="1"/>
  <c r="J95" i="19" s="1"/>
  <c r="I88" i="21"/>
  <c r="I93" i="20" s="1"/>
  <c r="I93" i="19" s="1"/>
  <c r="I89" i="21"/>
  <c r="I94" i="20" s="1"/>
  <c r="I94" i="19" s="1"/>
  <c r="I90" i="21"/>
  <c r="I95" i="20" s="1"/>
  <c r="I95" i="19" s="1"/>
  <c r="H88" i="21"/>
  <c r="H93" i="20" s="1"/>
  <c r="H93" i="19" s="1"/>
  <c r="H89" i="21"/>
  <c r="H94" i="20" s="1"/>
  <c r="H94" i="19" s="1"/>
  <c r="H90" i="21"/>
  <c r="H95" i="20" s="1"/>
  <c r="H95" i="19" s="1"/>
  <c r="G88" i="21"/>
  <c r="G93" i="20" s="1"/>
  <c r="G93" i="19" s="1"/>
  <c r="G89" i="21"/>
  <c r="G94" i="20" s="1"/>
  <c r="G94" i="19" s="1"/>
  <c r="G90" i="21"/>
  <c r="G95" i="20" s="1"/>
  <c r="G95" i="19" s="1"/>
  <c r="F88" i="21"/>
  <c r="F93" i="20" s="1"/>
  <c r="F93" i="19" s="1"/>
  <c r="F89" i="21"/>
  <c r="F94" i="20" s="1"/>
  <c r="F94" i="19" s="1"/>
  <c r="F90" i="21"/>
  <c r="F95" i="20" s="1"/>
  <c r="F95" i="19" s="1"/>
  <c r="E88" i="21"/>
  <c r="E93" i="20" s="1"/>
  <c r="E93" i="19" s="1"/>
  <c r="E89" i="21"/>
  <c r="E94" i="20" s="1"/>
  <c r="E94" i="19" s="1"/>
  <c r="E90" i="21"/>
  <c r="E95" i="20" s="1"/>
  <c r="E95" i="19" s="1"/>
  <c r="D88" i="21"/>
  <c r="D93" i="20" s="1"/>
  <c r="D93" i="19" s="1"/>
  <c r="D89" i="21"/>
  <c r="D94" i="20" s="1"/>
  <c r="D94" i="19" s="1"/>
  <c r="D90" i="21"/>
  <c r="D95" i="20" s="1"/>
  <c r="D95" i="19" s="1"/>
  <c r="C88" i="21"/>
  <c r="C93" i="20" s="1"/>
  <c r="C93" i="19" s="1"/>
  <c r="C89" i="21"/>
  <c r="C94" i="20" s="1"/>
  <c r="C94" i="19" s="1"/>
  <c r="C90" i="21"/>
  <c r="C95" i="20" s="1"/>
  <c r="C95" i="19" s="1"/>
  <c r="D87" i="21"/>
  <c r="D92" i="20" s="1"/>
  <c r="D92" i="19" s="1"/>
  <c r="E87" i="21"/>
  <c r="E92" i="20" s="1"/>
  <c r="E92" i="19" s="1"/>
  <c r="F87" i="21"/>
  <c r="F92" i="20" s="1"/>
  <c r="F92" i="19" s="1"/>
  <c r="G87" i="21"/>
  <c r="G92" i="20" s="1"/>
  <c r="G92" i="19" s="1"/>
  <c r="H87" i="21"/>
  <c r="H92" i="20" s="1"/>
  <c r="H92" i="19" s="1"/>
  <c r="I87" i="21"/>
  <c r="I92" i="20" s="1"/>
  <c r="I92" i="19" s="1"/>
  <c r="J87" i="21"/>
  <c r="J92" i="20" s="1"/>
  <c r="J92" i="19" s="1"/>
  <c r="C87" i="21"/>
  <c r="C92" i="20" s="1"/>
  <c r="C92" i="19" s="1"/>
  <c r="J82" i="21"/>
  <c r="J87" i="20" s="1"/>
  <c r="J87" i="19" s="1"/>
  <c r="J83" i="21"/>
  <c r="J88" i="20" s="1"/>
  <c r="J88" i="19" s="1"/>
  <c r="J84" i="21"/>
  <c r="J89" i="20" s="1"/>
  <c r="J89" i="19" s="1"/>
  <c r="I82" i="21"/>
  <c r="I87" i="20" s="1"/>
  <c r="I87" i="19" s="1"/>
  <c r="I83" i="21"/>
  <c r="I88" i="20" s="1"/>
  <c r="I88" i="19" s="1"/>
  <c r="I84" i="21"/>
  <c r="I89" i="20" s="1"/>
  <c r="I89" i="19" s="1"/>
  <c r="H82" i="21"/>
  <c r="H87" i="20" s="1"/>
  <c r="H87" i="19" s="1"/>
  <c r="H83" i="21"/>
  <c r="H88" i="20" s="1"/>
  <c r="H88" i="19" s="1"/>
  <c r="H84" i="21"/>
  <c r="H89" i="20" s="1"/>
  <c r="H89" i="19" s="1"/>
  <c r="G82" i="21"/>
  <c r="G87" i="20" s="1"/>
  <c r="G87" i="19" s="1"/>
  <c r="G83" i="21"/>
  <c r="G88" i="20" s="1"/>
  <c r="G88" i="19" s="1"/>
  <c r="G84" i="21"/>
  <c r="G89" i="20" s="1"/>
  <c r="G89" i="19" s="1"/>
  <c r="F82" i="21"/>
  <c r="F87" i="20" s="1"/>
  <c r="F87" i="19" s="1"/>
  <c r="F83" i="21"/>
  <c r="F88" i="20" s="1"/>
  <c r="F88" i="19" s="1"/>
  <c r="F84" i="21"/>
  <c r="F89" i="20" s="1"/>
  <c r="F89" i="19" s="1"/>
  <c r="E82" i="21"/>
  <c r="E87" i="20" s="1"/>
  <c r="E87" i="19" s="1"/>
  <c r="E83" i="21"/>
  <c r="E88" i="20" s="1"/>
  <c r="E88" i="19" s="1"/>
  <c r="E84" i="21"/>
  <c r="E89" i="20" s="1"/>
  <c r="E89" i="19" s="1"/>
  <c r="D82" i="21"/>
  <c r="D87" i="20" s="1"/>
  <c r="D87" i="19" s="1"/>
  <c r="D83" i="21"/>
  <c r="D88" i="20" s="1"/>
  <c r="D88" i="19" s="1"/>
  <c r="D84" i="21"/>
  <c r="D89" i="20" s="1"/>
  <c r="D89" i="19" s="1"/>
  <c r="D81" i="21"/>
  <c r="D86" i="20" s="1"/>
  <c r="D86" i="19" s="1"/>
  <c r="E81" i="21"/>
  <c r="E86" i="20" s="1"/>
  <c r="E86" i="19" s="1"/>
  <c r="F81" i="21"/>
  <c r="F86" i="20" s="1"/>
  <c r="F86" i="19" s="1"/>
  <c r="G81" i="21"/>
  <c r="G86" i="20" s="1"/>
  <c r="G86" i="19" s="1"/>
  <c r="H81" i="21"/>
  <c r="H86" i="20" s="1"/>
  <c r="H86" i="19" s="1"/>
  <c r="I81" i="21"/>
  <c r="I86" i="20" s="1"/>
  <c r="I86" i="19" s="1"/>
  <c r="J81" i="21"/>
  <c r="J86" i="20" s="1"/>
  <c r="J86" i="19" s="1"/>
  <c r="C82" i="21"/>
  <c r="C87" i="20" s="1"/>
  <c r="C87" i="19" s="1"/>
  <c r="C83" i="21"/>
  <c r="C88" i="20" s="1"/>
  <c r="C88" i="19" s="1"/>
  <c r="C84" i="21"/>
  <c r="C89" i="20" s="1"/>
  <c r="C89" i="19" s="1"/>
  <c r="C81" i="21"/>
  <c r="C86" i="20" s="1"/>
  <c r="C86" i="19" s="1"/>
  <c r="J73" i="21"/>
  <c r="J78" i="20" s="1"/>
  <c r="J78" i="19" s="1"/>
  <c r="J74" i="21"/>
  <c r="J79" i="20" s="1"/>
  <c r="J79" i="19" s="1"/>
  <c r="J75" i="21"/>
  <c r="J80" i="20" s="1"/>
  <c r="J80" i="19" s="1"/>
  <c r="J76" i="21"/>
  <c r="J81" i="20" s="1"/>
  <c r="J81" i="19" s="1"/>
  <c r="J77" i="21"/>
  <c r="J82" i="20" s="1"/>
  <c r="J82" i="19" s="1"/>
  <c r="J78" i="21"/>
  <c r="J83" i="20" s="1"/>
  <c r="J83" i="19" s="1"/>
  <c r="I73" i="21"/>
  <c r="I78" i="20" s="1"/>
  <c r="I78" i="19" s="1"/>
  <c r="I74" i="21"/>
  <c r="I79" i="20" s="1"/>
  <c r="I79" i="19" s="1"/>
  <c r="I75" i="21"/>
  <c r="I80" i="20" s="1"/>
  <c r="I80" i="19" s="1"/>
  <c r="I76" i="21"/>
  <c r="I81" i="20" s="1"/>
  <c r="I81" i="19" s="1"/>
  <c r="I77" i="21"/>
  <c r="I82" i="20" s="1"/>
  <c r="I82" i="19" s="1"/>
  <c r="I78" i="21"/>
  <c r="I83" i="20" s="1"/>
  <c r="I83" i="19" s="1"/>
  <c r="H73" i="21"/>
  <c r="H78" i="20" s="1"/>
  <c r="H78" i="19" s="1"/>
  <c r="H74" i="21"/>
  <c r="H79" i="20" s="1"/>
  <c r="H79" i="19" s="1"/>
  <c r="H75" i="21"/>
  <c r="H80" i="20" s="1"/>
  <c r="H80" i="19" s="1"/>
  <c r="H76" i="21"/>
  <c r="H81" i="20" s="1"/>
  <c r="H81" i="19" s="1"/>
  <c r="H77" i="21"/>
  <c r="H82" i="20" s="1"/>
  <c r="H82" i="19" s="1"/>
  <c r="H78" i="21"/>
  <c r="H83" i="20" s="1"/>
  <c r="H83" i="19" s="1"/>
  <c r="G73" i="21"/>
  <c r="G78" i="20" s="1"/>
  <c r="G78" i="19" s="1"/>
  <c r="G74" i="21"/>
  <c r="G79" i="20" s="1"/>
  <c r="G79" i="19" s="1"/>
  <c r="G75" i="21"/>
  <c r="G80" i="20" s="1"/>
  <c r="G80" i="19" s="1"/>
  <c r="G76" i="21"/>
  <c r="G81" i="20" s="1"/>
  <c r="G81" i="19" s="1"/>
  <c r="G77" i="21"/>
  <c r="G82" i="20" s="1"/>
  <c r="G82" i="19" s="1"/>
  <c r="G78" i="21"/>
  <c r="G83" i="20" s="1"/>
  <c r="G83" i="19" s="1"/>
  <c r="F73" i="21"/>
  <c r="F78" i="20" s="1"/>
  <c r="F78" i="19" s="1"/>
  <c r="F74" i="21"/>
  <c r="F79" i="20" s="1"/>
  <c r="F79" i="19" s="1"/>
  <c r="F75" i="21"/>
  <c r="F80" i="20" s="1"/>
  <c r="F80" i="19" s="1"/>
  <c r="F76" i="21"/>
  <c r="F81" i="20" s="1"/>
  <c r="F81" i="19" s="1"/>
  <c r="F77" i="21"/>
  <c r="F82" i="20" s="1"/>
  <c r="F82" i="19" s="1"/>
  <c r="F78" i="21"/>
  <c r="F83" i="20" s="1"/>
  <c r="F83" i="19" s="1"/>
  <c r="E73" i="21"/>
  <c r="E78" i="20" s="1"/>
  <c r="E78" i="19" s="1"/>
  <c r="E74" i="21"/>
  <c r="E79" i="20" s="1"/>
  <c r="E79" i="19" s="1"/>
  <c r="E75" i="21"/>
  <c r="E80" i="20" s="1"/>
  <c r="E80" i="19" s="1"/>
  <c r="E76" i="21"/>
  <c r="E81" i="20" s="1"/>
  <c r="E81" i="19" s="1"/>
  <c r="E77" i="21"/>
  <c r="E82" i="20" s="1"/>
  <c r="E82" i="19" s="1"/>
  <c r="E78" i="21"/>
  <c r="E83" i="20" s="1"/>
  <c r="E83" i="19" s="1"/>
  <c r="D73" i="21"/>
  <c r="D78" i="20" s="1"/>
  <c r="D78" i="19" s="1"/>
  <c r="D74" i="21"/>
  <c r="D79" i="20" s="1"/>
  <c r="D79" i="19" s="1"/>
  <c r="D75" i="21"/>
  <c r="D80" i="20" s="1"/>
  <c r="D80" i="19" s="1"/>
  <c r="D76" i="21"/>
  <c r="D81" i="20" s="1"/>
  <c r="D81" i="19" s="1"/>
  <c r="D77" i="21"/>
  <c r="D82" i="20" s="1"/>
  <c r="D82" i="19" s="1"/>
  <c r="D78" i="21"/>
  <c r="D83" i="20" s="1"/>
  <c r="D83" i="19" s="1"/>
  <c r="C73" i="21"/>
  <c r="C78" i="20" s="1"/>
  <c r="C78" i="19" s="1"/>
  <c r="C74" i="21"/>
  <c r="C79" i="20" s="1"/>
  <c r="C79" i="19" s="1"/>
  <c r="C75" i="21"/>
  <c r="C80" i="20" s="1"/>
  <c r="C80" i="19" s="1"/>
  <c r="C76" i="21"/>
  <c r="C81" i="20" s="1"/>
  <c r="C81" i="19" s="1"/>
  <c r="C77" i="21"/>
  <c r="C82" i="20" s="1"/>
  <c r="C82" i="19" s="1"/>
  <c r="C78" i="21"/>
  <c r="C83" i="20" s="1"/>
  <c r="C83" i="19" s="1"/>
  <c r="D72" i="21"/>
  <c r="D77" i="20" s="1"/>
  <c r="D77" i="19" s="1"/>
  <c r="E72" i="21"/>
  <c r="E77" i="20" s="1"/>
  <c r="E77" i="19" s="1"/>
  <c r="F72" i="21"/>
  <c r="F77" i="20" s="1"/>
  <c r="F77" i="19" s="1"/>
  <c r="G72" i="21"/>
  <c r="G77" i="20" s="1"/>
  <c r="G77" i="19" s="1"/>
  <c r="H72" i="21"/>
  <c r="H77" i="20" s="1"/>
  <c r="H77" i="19" s="1"/>
  <c r="I72" i="21"/>
  <c r="I77" i="20" s="1"/>
  <c r="I77" i="19" s="1"/>
  <c r="J72" i="21"/>
  <c r="J77" i="20" s="1"/>
  <c r="J77" i="19" s="1"/>
  <c r="C72" i="21"/>
  <c r="C77" i="20" s="1"/>
  <c r="C77" i="19" s="1"/>
  <c r="J46" i="21"/>
  <c r="J46" i="20" s="1"/>
  <c r="J48" i="19" s="1"/>
  <c r="J47" i="21"/>
  <c r="J47" i="20" s="1"/>
  <c r="J49" i="19" s="1"/>
  <c r="J48" i="21"/>
  <c r="J48" i="20" s="1"/>
  <c r="J50" i="19" s="1"/>
  <c r="J49" i="21"/>
  <c r="J49" i="20" s="1"/>
  <c r="J51" i="19" s="1"/>
  <c r="J50" i="21"/>
  <c r="J50" i="20" s="1"/>
  <c r="J52" i="19" s="1"/>
  <c r="I46" i="21"/>
  <c r="I46" i="20" s="1"/>
  <c r="I48" i="19" s="1"/>
  <c r="I47" i="21"/>
  <c r="I47" i="20" s="1"/>
  <c r="I49" i="19" s="1"/>
  <c r="I48" i="21"/>
  <c r="I48" i="20" s="1"/>
  <c r="I50" i="19" s="1"/>
  <c r="I49" i="21"/>
  <c r="I49" i="20" s="1"/>
  <c r="I51" i="19" s="1"/>
  <c r="I50" i="21"/>
  <c r="I50" i="20" s="1"/>
  <c r="I52" i="19" s="1"/>
  <c r="H46" i="21"/>
  <c r="H46" i="20" s="1"/>
  <c r="H48" i="19" s="1"/>
  <c r="H47" i="21"/>
  <c r="H47" i="20" s="1"/>
  <c r="H49" i="19" s="1"/>
  <c r="H48" i="21"/>
  <c r="H48" i="20" s="1"/>
  <c r="H50" i="19" s="1"/>
  <c r="H49" i="21"/>
  <c r="H49" i="20" s="1"/>
  <c r="H51" i="19" s="1"/>
  <c r="H50" i="21"/>
  <c r="H50" i="20" s="1"/>
  <c r="H52" i="19" s="1"/>
  <c r="G46" i="21"/>
  <c r="G46" i="20" s="1"/>
  <c r="G48" i="19" s="1"/>
  <c r="G47" i="21"/>
  <c r="G47" i="20" s="1"/>
  <c r="G49" i="19" s="1"/>
  <c r="G48" i="21"/>
  <c r="G48" i="20" s="1"/>
  <c r="G50" i="19" s="1"/>
  <c r="G49" i="21"/>
  <c r="G49" i="20" s="1"/>
  <c r="G51" i="19" s="1"/>
  <c r="G50" i="21"/>
  <c r="G50" i="20" s="1"/>
  <c r="G52" i="19" s="1"/>
  <c r="F46" i="21"/>
  <c r="F46" i="20" s="1"/>
  <c r="F48" i="19" s="1"/>
  <c r="F47" i="21"/>
  <c r="F47" i="20" s="1"/>
  <c r="F49" i="19" s="1"/>
  <c r="F48" i="21"/>
  <c r="F48" i="20" s="1"/>
  <c r="F50" i="19" s="1"/>
  <c r="F49" i="21"/>
  <c r="F49" i="20" s="1"/>
  <c r="F51" i="19" s="1"/>
  <c r="F50" i="21"/>
  <c r="F50" i="20" s="1"/>
  <c r="F52" i="19" s="1"/>
  <c r="E46" i="21"/>
  <c r="E46" i="20" s="1"/>
  <c r="E48" i="19" s="1"/>
  <c r="E47" i="21"/>
  <c r="E47" i="20" s="1"/>
  <c r="E49" i="19" s="1"/>
  <c r="E48" i="21"/>
  <c r="E48" i="20" s="1"/>
  <c r="E50" i="19" s="1"/>
  <c r="E49" i="21"/>
  <c r="E49" i="20" s="1"/>
  <c r="E51" i="19" s="1"/>
  <c r="E50" i="21"/>
  <c r="E50" i="20" s="1"/>
  <c r="E52" i="19" s="1"/>
  <c r="D46" i="21"/>
  <c r="D46" i="20" s="1"/>
  <c r="D48" i="19" s="1"/>
  <c r="D47" i="21"/>
  <c r="D47" i="20" s="1"/>
  <c r="D49" i="19" s="1"/>
  <c r="D48" i="21"/>
  <c r="D48" i="20" s="1"/>
  <c r="D50" i="19" s="1"/>
  <c r="D49" i="21"/>
  <c r="D49" i="20" s="1"/>
  <c r="D51" i="19" s="1"/>
  <c r="D50" i="21"/>
  <c r="D50" i="20" s="1"/>
  <c r="D52" i="19" s="1"/>
  <c r="C46" i="21"/>
  <c r="C46" i="20" s="1"/>
  <c r="C48" i="19" s="1"/>
  <c r="C47" i="21"/>
  <c r="C47" i="20" s="1"/>
  <c r="C49" i="19" s="1"/>
  <c r="C48" i="21"/>
  <c r="C48" i="20" s="1"/>
  <c r="C50" i="19" s="1"/>
  <c r="C49" i="21"/>
  <c r="C49" i="20" s="1"/>
  <c r="C51" i="19" s="1"/>
  <c r="C50" i="21"/>
  <c r="C50" i="20" s="1"/>
  <c r="C52" i="19" s="1"/>
  <c r="D45" i="21"/>
  <c r="D45" i="20" s="1"/>
  <c r="D47" i="19" s="1"/>
  <c r="E45" i="21"/>
  <c r="E45" i="20" s="1"/>
  <c r="E47" i="19" s="1"/>
  <c r="F45" i="21"/>
  <c r="F45" i="20" s="1"/>
  <c r="F47" i="19" s="1"/>
  <c r="G45" i="21"/>
  <c r="G45" i="20" s="1"/>
  <c r="G47" i="19" s="1"/>
  <c r="H45" i="21"/>
  <c r="H45" i="20" s="1"/>
  <c r="H47" i="19" s="1"/>
  <c r="I45" i="21"/>
  <c r="I45" i="20" s="1"/>
  <c r="I47" i="19" s="1"/>
  <c r="J45" i="21"/>
  <c r="J45" i="20" s="1"/>
  <c r="J47" i="19" s="1"/>
  <c r="C45" i="21"/>
  <c r="C45" i="20" s="1"/>
  <c r="C47" i="19" s="1"/>
  <c r="C39" i="21"/>
  <c r="C39" i="20" s="1"/>
  <c r="C41" i="19" s="1"/>
  <c r="C40" i="21"/>
  <c r="C40" i="20" s="1"/>
  <c r="C42" i="19" s="1"/>
  <c r="C41" i="21"/>
  <c r="C41" i="20" s="1"/>
  <c r="C43" i="19" s="1"/>
  <c r="C42" i="21"/>
  <c r="C42" i="20" s="1"/>
  <c r="C44" i="19" s="1"/>
  <c r="C38" i="21"/>
  <c r="C38" i="20" s="1"/>
  <c r="C40" i="19" s="1"/>
  <c r="J39" i="21"/>
  <c r="J39" i="20" s="1"/>
  <c r="J41" i="19" s="1"/>
  <c r="J40" i="21"/>
  <c r="J40" i="20" s="1"/>
  <c r="J42" i="19" s="1"/>
  <c r="J41" i="21"/>
  <c r="J41" i="20" s="1"/>
  <c r="J43" i="19" s="1"/>
  <c r="J42" i="21"/>
  <c r="J42" i="20" s="1"/>
  <c r="J44" i="19" s="1"/>
  <c r="I39" i="21"/>
  <c r="I39" i="20" s="1"/>
  <c r="I41" i="19" s="1"/>
  <c r="I40" i="21"/>
  <c r="I40" i="20" s="1"/>
  <c r="I42" i="19" s="1"/>
  <c r="I41" i="21"/>
  <c r="I41" i="20" s="1"/>
  <c r="I43" i="19" s="1"/>
  <c r="I42" i="21"/>
  <c r="I42" i="20" s="1"/>
  <c r="I44" i="19" s="1"/>
  <c r="H39" i="21"/>
  <c r="H39" i="20" s="1"/>
  <c r="H41" i="19" s="1"/>
  <c r="H40" i="21"/>
  <c r="H40" i="20" s="1"/>
  <c r="H42" i="19" s="1"/>
  <c r="H41" i="21"/>
  <c r="H41" i="20" s="1"/>
  <c r="H43" i="19" s="1"/>
  <c r="H42" i="21"/>
  <c r="H42" i="20" s="1"/>
  <c r="H44" i="19" s="1"/>
  <c r="G39" i="21"/>
  <c r="G39" i="20" s="1"/>
  <c r="G41" i="19" s="1"/>
  <c r="G40" i="21"/>
  <c r="G40" i="20" s="1"/>
  <c r="G42" i="19" s="1"/>
  <c r="G41" i="21"/>
  <c r="G41" i="20" s="1"/>
  <c r="G43" i="19" s="1"/>
  <c r="G42" i="21"/>
  <c r="G42" i="20" s="1"/>
  <c r="G44" i="19" s="1"/>
  <c r="F39" i="21"/>
  <c r="F39" i="20" s="1"/>
  <c r="F41" i="19" s="1"/>
  <c r="F40" i="21"/>
  <c r="F40" i="20" s="1"/>
  <c r="F42" i="19" s="1"/>
  <c r="F41" i="21"/>
  <c r="F41" i="20" s="1"/>
  <c r="F43" i="19" s="1"/>
  <c r="F42" i="21"/>
  <c r="F42" i="20" s="1"/>
  <c r="F44" i="19" s="1"/>
  <c r="E39" i="21"/>
  <c r="E39" i="20" s="1"/>
  <c r="E41" i="19" s="1"/>
  <c r="E40" i="21"/>
  <c r="E40" i="20" s="1"/>
  <c r="E42" i="19" s="1"/>
  <c r="E41" i="21"/>
  <c r="E41" i="20" s="1"/>
  <c r="E43" i="19" s="1"/>
  <c r="E42" i="21"/>
  <c r="E42" i="20" s="1"/>
  <c r="E44" i="19" s="1"/>
  <c r="D39" i="21"/>
  <c r="D39" i="20" s="1"/>
  <c r="D41" i="19" s="1"/>
  <c r="D40" i="21"/>
  <c r="D40" i="20" s="1"/>
  <c r="D42" i="19" s="1"/>
  <c r="D41" i="21"/>
  <c r="D41" i="20" s="1"/>
  <c r="D43" i="19" s="1"/>
  <c r="D42" i="21"/>
  <c r="D42" i="20" s="1"/>
  <c r="D44" i="19" s="1"/>
  <c r="E38" i="21"/>
  <c r="E38" i="20" s="1"/>
  <c r="E40" i="19" s="1"/>
  <c r="F38" i="21"/>
  <c r="F38" i="20" s="1"/>
  <c r="F40" i="19" s="1"/>
  <c r="G38" i="21"/>
  <c r="G38" i="20" s="1"/>
  <c r="G40" i="19" s="1"/>
  <c r="H38" i="21"/>
  <c r="H38" i="20" s="1"/>
  <c r="H40" i="19" s="1"/>
  <c r="I38" i="21"/>
  <c r="I38" i="20" s="1"/>
  <c r="I40" i="19" s="1"/>
  <c r="J38" i="21"/>
  <c r="J38" i="20" s="1"/>
  <c r="J40" i="19" s="1"/>
  <c r="D38" i="21"/>
  <c r="D38" i="20" s="1"/>
  <c r="D40" i="19" s="1"/>
  <c r="D30" i="21"/>
  <c r="D30" i="20" s="1"/>
  <c r="D32" i="19" s="1"/>
  <c r="D31" i="21"/>
  <c r="D31" i="20" s="1"/>
  <c r="D33" i="19" s="1"/>
  <c r="D32" i="21"/>
  <c r="D32" i="20" s="1"/>
  <c r="D34" i="19" s="1"/>
  <c r="D33" i="21"/>
  <c r="D33" i="20" s="1"/>
  <c r="D35" i="19" s="1"/>
  <c r="D34" i="21"/>
  <c r="D34" i="20" s="1"/>
  <c r="D36" i="19" s="1"/>
  <c r="D35" i="21"/>
  <c r="D35" i="20" s="1"/>
  <c r="D37" i="19" s="1"/>
  <c r="C30" i="21"/>
  <c r="C30" i="20" s="1"/>
  <c r="C32" i="19" s="1"/>
  <c r="C31" i="21"/>
  <c r="C31" i="20" s="1"/>
  <c r="C33" i="19" s="1"/>
  <c r="C32" i="21"/>
  <c r="C32" i="20" s="1"/>
  <c r="C34" i="19" s="1"/>
  <c r="C33" i="21"/>
  <c r="C33" i="20" s="1"/>
  <c r="C35" i="19" s="1"/>
  <c r="C34" i="21"/>
  <c r="C34" i="20" s="1"/>
  <c r="C36" i="19" s="1"/>
  <c r="C35" i="21"/>
  <c r="C35" i="20" s="1"/>
  <c r="C37" i="19" s="1"/>
  <c r="C29" i="21"/>
  <c r="C29" i="20" s="1"/>
  <c r="C31" i="19" s="1"/>
  <c r="J13" i="21"/>
  <c r="J13" i="20" s="1"/>
  <c r="J15" i="19" s="1"/>
  <c r="J14" i="21"/>
  <c r="J14" i="20" s="1"/>
  <c r="J16" i="19" s="1"/>
  <c r="J15" i="21"/>
  <c r="J15" i="20" s="1"/>
  <c r="J17" i="19" s="1"/>
  <c r="J16" i="21"/>
  <c r="J16" i="20" s="1"/>
  <c r="J18" i="19" s="1"/>
  <c r="I13" i="21"/>
  <c r="I13" i="20" s="1"/>
  <c r="I15" i="19" s="1"/>
  <c r="I14" i="21"/>
  <c r="I14" i="20" s="1"/>
  <c r="I16" i="19" s="1"/>
  <c r="I15" i="21"/>
  <c r="I15" i="20" s="1"/>
  <c r="I17" i="19" s="1"/>
  <c r="I16" i="21"/>
  <c r="I16" i="20" s="1"/>
  <c r="I18" i="19" s="1"/>
  <c r="H13" i="21"/>
  <c r="H13" i="20" s="1"/>
  <c r="H15" i="19" s="1"/>
  <c r="H14" i="21"/>
  <c r="H14" i="20" s="1"/>
  <c r="H16" i="19" s="1"/>
  <c r="H15" i="21"/>
  <c r="H15" i="20" s="1"/>
  <c r="H17" i="19" s="1"/>
  <c r="H16" i="21"/>
  <c r="H16" i="20" s="1"/>
  <c r="H18" i="19" s="1"/>
  <c r="H20" i="21"/>
  <c r="H20" i="20" s="1"/>
  <c r="H21" i="21"/>
  <c r="H21" i="20" s="1"/>
  <c r="H23" i="19" s="1"/>
  <c r="H22" i="21"/>
  <c r="H22" i="20" s="1"/>
  <c r="H24" i="19" s="1"/>
  <c r="H23" i="21"/>
  <c r="H23" i="20" s="1"/>
  <c r="H25" i="19" s="1"/>
  <c r="H24" i="21"/>
  <c r="H24" i="20" s="1"/>
  <c r="H26" i="19" s="1"/>
  <c r="H25" i="21"/>
  <c r="H25" i="20" s="1"/>
  <c r="H27" i="19" s="1"/>
  <c r="H26" i="21"/>
  <c r="H26" i="20" s="1"/>
  <c r="H28" i="19" s="1"/>
  <c r="I20" i="21"/>
  <c r="I20" i="20" s="1"/>
  <c r="I21" i="21"/>
  <c r="I21" i="20" s="1"/>
  <c r="I23" i="19" s="1"/>
  <c r="I22" i="21"/>
  <c r="I22" i="20" s="1"/>
  <c r="I24" i="19" s="1"/>
  <c r="I23" i="21"/>
  <c r="I23" i="20" s="1"/>
  <c r="I25" i="19" s="1"/>
  <c r="I24" i="21"/>
  <c r="I24" i="20" s="1"/>
  <c r="I26" i="19" s="1"/>
  <c r="I25" i="21"/>
  <c r="I25" i="20" s="1"/>
  <c r="I27" i="19" s="1"/>
  <c r="I26" i="21"/>
  <c r="I26" i="20" s="1"/>
  <c r="I28" i="19" s="1"/>
  <c r="J20" i="21"/>
  <c r="J20" i="20" s="1"/>
  <c r="J21" i="21"/>
  <c r="J21" i="20" s="1"/>
  <c r="J23" i="19" s="1"/>
  <c r="J22" i="21"/>
  <c r="J22" i="20" s="1"/>
  <c r="J24" i="19" s="1"/>
  <c r="J23" i="21"/>
  <c r="J23" i="20" s="1"/>
  <c r="J25" i="19" s="1"/>
  <c r="J24" i="21"/>
  <c r="J24" i="20" s="1"/>
  <c r="J26" i="19" s="1"/>
  <c r="J25" i="21"/>
  <c r="J25" i="20" s="1"/>
  <c r="J27" i="19" s="1"/>
  <c r="J26" i="21"/>
  <c r="J26" i="20" s="1"/>
  <c r="J28" i="19" s="1"/>
  <c r="J30" i="21"/>
  <c r="J30" i="20" s="1"/>
  <c r="J32" i="19" s="1"/>
  <c r="J31" i="21"/>
  <c r="J31" i="20" s="1"/>
  <c r="J33" i="19" s="1"/>
  <c r="J32" i="21"/>
  <c r="J32" i="20" s="1"/>
  <c r="J34" i="19" s="1"/>
  <c r="J33" i="21"/>
  <c r="J33" i="20" s="1"/>
  <c r="J35" i="19" s="1"/>
  <c r="J34" i="21"/>
  <c r="J34" i="20" s="1"/>
  <c r="J36" i="19" s="1"/>
  <c r="J35" i="21"/>
  <c r="J35" i="20" s="1"/>
  <c r="J37" i="19" s="1"/>
  <c r="I30" i="21"/>
  <c r="I30" i="20" s="1"/>
  <c r="I32" i="19" s="1"/>
  <c r="I31" i="21"/>
  <c r="I31" i="20" s="1"/>
  <c r="I33" i="19" s="1"/>
  <c r="I32" i="21"/>
  <c r="I32" i="20" s="1"/>
  <c r="I34" i="19" s="1"/>
  <c r="I33" i="21"/>
  <c r="I33" i="20" s="1"/>
  <c r="I35" i="19" s="1"/>
  <c r="I34" i="21"/>
  <c r="I34" i="20" s="1"/>
  <c r="I36" i="19" s="1"/>
  <c r="I35" i="21"/>
  <c r="I35" i="20" s="1"/>
  <c r="I37" i="19" s="1"/>
  <c r="H30" i="21"/>
  <c r="H30" i="20" s="1"/>
  <c r="H32" i="19" s="1"/>
  <c r="H31" i="21"/>
  <c r="H31" i="20" s="1"/>
  <c r="H33" i="19" s="1"/>
  <c r="H32" i="21"/>
  <c r="H32" i="20" s="1"/>
  <c r="H34" i="19" s="1"/>
  <c r="H33" i="21"/>
  <c r="H33" i="20" s="1"/>
  <c r="H35" i="19" s="1"/>
  <c r="H34" i="21"/>
  <c r="H34" i="20" s="1"/>
  <c r="H36" i="19" s="1"/>
  <c r="H35" i="21"/>
  <c r="H35" i="20" s="1"/>
  <c r="H37" i="19" s="1"/>
  <c r="G30" i="21"/>
  <c r="G30" i="20" s="1"/>
  <c r="G32" i="19" s="1"/>
  <c r="G31" i="21"/>
  <c r="G31" i="20" s="1"/>
  <c r="G33" i="19" s="1"/>
  <c r="G32" i="21"/>
  <c r="G32" i="20" s="1"/>
  <c r="G34" i="19" s="1"/>
  <c r="G33" i="21"/>
  <c r="G33" i="20" s="1"/>
  <c r="G35" i="19" s="1"/>
  <c r="G34" i="21"/>
  <c r="G34" i="20" s="1"/>
  <c r="G36" i="19" s="1"/>
  <c r="G35" i="21"/>
  <c r="G35" i="20" s="1"/>
  <c r="G37" i="19" s="1"/>
  <c r="F30" i="21"/>
  <c r="F30" i="20" s="1"/>
  <c r="F32" i="19" s="1"/>
  <c r="F31" i="21"/>
  <c r="F31" i="20" s="1"/>
  <c r="F33" i="19" s="1"/>
  <c r="F32" i="21"/>
  <c r="F32" i="20" s="1"/>
  <c r="F34" i="19" s="1"/>
  <c r="F33" i="21"/>
  <c r="F33" i="20" s="1"/>
  <c r="F35" i="19" s="1"/>
  <c r="F34" i="21"/>
  <c r="F34" i="20" s="1"/>
  <c r="F36" i="19" s="1"/>
  <c r="F35" i="21"/>
  <c r="F35" i="20" s="1"/>
  <c r="F37" i="19" s="1"/>
  <c r="E30" i="21"/>
  <c r="E30" i="20" s="1"/>
  <c r="E32" i="19" s="1"/>
  <c r="E31" i="21"/>
  <c r="E31" i="20" s="1"/>
  <c r="E33" i="19" s="1"/>
  <c r="E32" i="21"/>
  <c r="E32" i="20" s="1"/>
  <c r="E34" i="19" s="1"/>
  <c r="E33" i="21"/>
  <c r="E33" i="20" s="1"/>
  <c r="E35" i="19" s="1"/>
  <c r="E34" i="21"/>
  <c r="E34" i="20" s="1"/>
  <c r="E36" i="19" s="1"/>
  <c r="E35" i="21"/>
  <c r="E35" i="20" s="1"/>
  <c r="E37" i="19" s="1"/>
  <c r="E29" i="21"/>
  <c r="E29" i="20" s="1"/>
  <c r="E31" i="19" s="1"/>
  <c r="F29" i="21"/>
  <c r="F29" i="20" s="1"/>
  <c r="F31" i="19" s="1"/>
  <c r="G29" i="21"/>
  <c r="G29" i="20" s="1"/>
  <c r="G31" i="19" s="1"/>
  <c r="H29" i="21"/>
  <c r="H29" i="20" s="1"/>
  <c r="H31" i="19" s="1"/>
  <c r="I29" i="21"/>
  <c r="I29" i="20" s="1"/>
  <c r="I31" i="19" s="1"/>
  <c r="J29" i="21"/>
  <c r="J29" i="20" s="1"/>
  <c r="J31" i="19" s="1"/>
  <c r="D29" i="21"/>
  <c r="D29" i="20" s="1"/>
  <c r="D31" i="19" s="1"/>
  <c r="C20" i="21"/>
  <c r="C20" i="20" s="1"/>
  <c r="C21" i="21"/>
  <c r="C21" i="20" s="1"/>
  <c r="C23" i="19" s="1"/>
  <c r="C22" i="21"/>
  <c r="C22" i="20" s="1"/>
  <c r="C24" i="19" s="1"/>
  <c r="C23" i="21"/>
  <c r="C23" i="20" s="1"/>
  <c r="C25" i="19" s="1"/>
  <c r="C24" i="21"/>
  <c r="C24" i="20" s="1"/>
  <c r="C26" i="19" s="1"/>
  <c r="C25" i="21"/>
  <c r="C25" i="20" s="1"/>
  <c r="C27" i="19" s="1"/>
  <c r="C26" i="21"/>
  <c r="C26" i="20" s="1"/>
  <c r="C28" i="19" s="1"/>
  <c r="C19" i="21"/>
  <c r="C19" i="20" s="1"/>
  <c r="C21" i="19" s="1"/>
  <c r="C13" i="21"/>
  <c r="C13" i="20" s="1"/>
  <c r="C15" i="19" s="1"/>
  <c r="C14" i="21"/>
  <c r="C14" i="20" s="1"/>
  <c r="C16" i="19" s="1"/>
  <c r="C15" i="21"/>
  <c r="C15" i="20" s="1"/>
  <c r="C17" i="19" s="1"/>
  <c r="C16" i="21"/>
  <c r="C16" i="20" s="1"/>
  <c r="C18" i="19" s="1"/>
  <c r="G20" i="21"/>
  <c r="G20" i="20" s="1"/>
  <c r="G22" i="19" s="1"/>
  <c r="G21" i="21"/>
  <c r="G21" i="20" s="1"/>
  <c r="G23" i="19" s="1"/>
  <c r="G22" i="21"/>
  <c r="G22" i="20" s="1"/>
  <c r="G24" i="19" s="1"/>
  <c r="G23" i="21"/>
  <c r="G23" i="20" s="1"/>
  <c r="G25" i="19" s="1"/>
  <c r="G24" i="21"/>
  <c r="G24" i="20" s="1"/>
  <c r="G26" i="19" s="1"/>
  <c r="G25" i="21"/>
  <c r="G25" i="20" s="1"/>
  <c r="G27" i="19" s="1"/>
  <c r="G26" i="21"/>
  <c r="G26" i="20" s="1"/>
  <c r="G28" i="19" s="1"/>
  <c r="F20" i="21"/>
  <c r="F20" i="20" s="1"/>
  <c r="F22" i="19" s="1"/>
  <c r="F21" i="21"/>
  <c r="F21" i="20" s="1"/>
  <c r="F23" i="19" s="1"/>
  <c r="F22" i="21"/>
  <c r="F22" i="20" s="1"/>
  <c r="F24" i="19" s="1"/>
  <c r="F23" i="21"/>
  <c r="F23" i="20" s="1"/>
  <c r="F25" i="19" s="1"/>
  <c r="F24" i="21"/>
  <c r="F24" i="20" s="1"/>
  <c r="F26" i="19" s="1"/>
  <c r="F25" i="21"/>
  <c r="F25" i="20" s="1"/>
  <c r="F27" i="19" s="1"/>
  <c r="F26" i="21"/>
  <c r="F26" i="20" s="1"/>
  <c r="F28" i="19" s="1"/>
  <c r="E20" i="21"/>
  <c r="E20" i="20" s="1"/>
  <c r="E22" i="19" s="1"/>
  <c r="E21" i="21"/>
  <c r="E21" i="20" s="1"/>
  <c r="E23" i="19" s="1"/>
  <c r="E22" i="21"/>
  <c r="E22" i="20" s="1"/>
  <c r="E24" i="19" s="1"/>
  <c r="E23" i="21"/>
  <c r="E23" i="20" s="1"/>
  <c r="E25" i="19" s="1"/>
  <c r="E24" i="21"/>
  <c r="E24" i="20" s="1"/>
  <c r="E26" i="19" s="1"/>
  <c r="E25" i="21"/>
  <c r="E25" i="20" s="1"/>
  <c r="E27" i="19" s="1"/>
  <c r="E26" i="21"/>
  <c r="E26" i="20" s="1"/>
  <c r="E28" i="19" s="1"/>
  <c r="D20" i="21"/>
  <c r="D20" i="20" s="1"/>
  <c r="D22" i="19" s="1"/>
  <c r="D21" i="21"/>
  <c r="D21" i="20" s="1"/>
  <c r="D23" i="19" s="1"/>
  <c r="D22" i="21"/>
  <c r="D22" i="20" s="1"/>
  <c r="D24" i="19" s="1"/>
  <c r="D23" i="21"/>
  <c r="D23" i="20" s="1"/>
  <c r="D25" i="19" s="1"/>
  <c r="D24" i="21"/>
  <c r="D24" i="20" s="1"/>
  <c r="D26" i="19" s="1"/>
  <c r="D25" i="21"/>
  <c r="D25" i="20" s="1"/>
  <c r="D27" i="19" s="1"/>
  <c r="D26" i="21"/>
  <c r="D26" i="20" s="1"/>
  <c r="D28" i="19" s="1"/>
  <c r="E19" i="21"/>
  <c r="E19" i="20" s="1"/>
  <c r="E21" i="19" s="1"/>
  <c r="F19" i="21"/>
  <c r="F19" i="20" s="1"/>
  <c r="F21" i="19" s="1"/>
  <c r="G19" i="21"/>
  <c r="G19" i="20" s="1"/>
  <c r="G21" i="19" s="1"/>
  <c r="H19" i="21"/>
  <c r="H19" i="20" s="1"/>
  <c r="H21" i="19" s="1"/>
  <c r="I19" i="21"/>
  <c r="I19" i="20" s="1"/>
  <c r="I21" i="19" s="1"/>
  <c r="J19" i="21"/>
  <c r="J19" i="20" s="1"/>
  <c r="J21" i="19" s="1"/>
  <c r="D19" i="21"/>
  <c r="D19" i="20" s="1"/>
  <c r="D21" i="19" s="1"/>
  <c r="E16" i="21"/>
  <c r="E16" i="20" s="1"/>
  <c r="E18" i="19" s="1"/>
  <c r="F16" i="21"/>
  <c r="F16" i="20" s="1"/>
  <c r="F18" i="19" s="1"/>
  <c r="G16" i="21"/>
  <c r="G16" i="20" s="1"/>
  <c r="G18" i="19" s="1"/>
  <c r="E15" i="21"/>
  <c r="E15" i="20" s="1"/>
  <c r="E17" i="19" s="1"/>
  <c r="F15" i="21"/>
  <c r="F15" i="20" s="1"/>
  <c r="F17" i="19" s="1"/>
  <c r="G15" i="21"/>
  <c r="G15" i="20" s="1"/>
  <c r="G17" i="19" s="1"/>
  <c r="E14" i="21"/>
  <c r="E14" i="20" s="1"/>
  <c r="E16" i="19" s="1"/>
  <c r="F14" i="21"/>
  <c r="F14" i="20" s="1"/>
  <c r="F16" i="19" s="1"/>
  <c r="G14" i="21"/>
  <c r="G14" i="20" s="1"/>
  <c r="G16" i="19" s="1"/>
  <c r="E13" i="21"/>
  <c r="E13" i="20" s="1"/>
  <c r="E15" i="19" s="1"/>
  <c r="F13" i="21"/>
  <c r="F13" i="20" s="1"/>
  <c r="F15" i="19" s="1"/>
  <c r="G13" i="21"/>
  <c r="G13" i="20" s="1"/>
  <c r="G15" i="19" s="1"/>
  <c r="D13" i="21"/>
  <c r="D13" i="20" s="1"/>
  <c r="D15" i="19" s="1"/>
  <c r="D14" i="21"/>
  <c r="D14" i="20" s="1"/>
  <c r="D16" i="19" s="1"/>
  <c r="D15" i="21"/>
  <c r="D15" i="20" s="1"/>
  <c r="D17" i="19" s="1"/>
  <c r="D16" i="21"/>
  <c r="D16" i="20" s="1"/>
  <c r="D18" i="19" s="1"/>
  <c r="E12" i="21"/>
  <c r="E12" i="20" s="1"/>
  <c r="E14" i="19" s="1"/>
  <c r="F12" i="21"/>
  <c r="F12" i="20" s="1"/>
  <c r="F14" i="19" s="1"/>
  <c r="G12" i="21"/>
  <c r="G12" i="20" s="1"/>
  <c r="G14" i="19" s="1"/>
  <c r="H12" i="21"/>
  <c r="H12" i="20" s="1"/>
  <c r="H14" i="19" s="1"/>
  <c r="I12" i="21"/>
  <c r="I12" i="20" s="1"/>
  <c r="I14" i="19" s="1"/>
  <c r="J12" i="21"/>
  <c r="J12" i="20" s="1"/>
  <c r="J14" i="19" s="1"/>
  <c r="D12" i="21"/>
  <c r="D12" i="20" s="1"/>
  <c r="D14" i="19" s="1"/>
  <c r="C27" i="21" l="1"/>
  <c r="C17" i="21"/>
  <c r="G92" i="24"/>
  <c r="D28" i="29" l="1"/>
  <c r="E28" i="29"/>
  <c r="F28" i="29"/>
  <c r="G28" i="29"/>
  <c r="H28" i="29"/>
  <c r="I28" i="29"/>
  <c r="J28" i="29"/>
  <c r="C28" i="29"/>
  <c r="D26" i="31" l="1"/>
  <c r="E26" i="31"/>
  <c r="F26" i="31"/>
  <c r="G26" i="31"/>
  <c r="H26" i="31"/>
  <c r="I26" i="31"/>
  <c r="J26" i="31"/>
  <c r="C26" i="31"/>
  <c r="D26" i="35" l="1"/>
  <c r="E26" i="35"/>
  <c r="F26" i="35"/>
  <c r="G26" i="35"/>
  <c r="H26" i="35"/>
  <c r="I26" i="35"/>
  <c r="J26" i="35"/>
  <c r="C26" i="35"/>
  <c r="D22" i="36"/>
  <c r="E22" i="36"/>
  <c r="F22" i="36"/>
  <c r="G22" i="36"/>
  <c r="H22" i="36"/>
  <c r="I22" i="36"/>
  <c r="J22" i="36"/>
  <c r="C22" i="36"/>
  <c r="J109" i="34"/>
  <c r="I109" i="34"/>
  <c r="H109" i="34"/>
  <c r="G109" i="34"/>
  <c r="F109" i="34"/>
  <c r="E109" i="34"/>
  <c r="D109" i="34"/>
  <c r="C109" i="34"/>
  <c r="J99" i="34"/>
  <c r="I99" i="34"/>
  <c r="H99" i="34"/>
  <c r="G99" i="34"/>
  <c r="F99" i="34"/>
  <c r="E99" i="34"/>
  <c r="D99" i="34"/>
  <c r="C99" i="34"/>
  <c r="J91" i="34"/>
  <c r="I91" i="34"/>
  <c r="H91" i="34"/>
  <c r="G91" i="34"/>
  <c r="F91" i="34"/>
  <c r="E91" i="34"/>
  <c r="D91" i="34"/>
  <c r="C91" i="34"/>
  <c r="J85" i="34"/>
  <c r="I85" i="34"/>
  <c r="H85" i="34"/>
  <c r="G85" i="34"/>
  <c r="F85" i="34"/>
  <c r="E85" i="34"/>
  <c r="D85" i="34"/>
  <c r="C85" i="34"/>
  <c r="J79" i="34"/>
  <c r="I79" i="34"/>
  <c r="H79" i="34"/>
  <c r="G79" i="34"/>
  <c r="F79" i="34"/>
  <c r="E79" i="34"/>
  <c r="D79" i="34"/>
  <c r="C79" i="34"/>
  <c r="J51" i="34"/>
  <c r="I51" i="34"/>
  <c r="H51" i="34"/>
  <c r="G51" i="34"/>
  <c r="F51" i="34"/>
  <c r="E51" i="34"/>
  <c r="D51" i="34"/>
  <c r="C51" i="34"/>
  <c r="J43" i="34"/>
  <c r="I43" i="34"/>
  <c r="H43" i="34"/>
  <c r="G43" i="34"/>
  <c r="F43" i="34"/>
  <c r="E43" i="34"/>
  <c r="D43" i="34"/>
  <c r="C43" i="34"/>
  <c r="J36" i="34"/>
  <c r="I36" i="34"/>
  <c r="H36" i="34"/>
  <c r="G36" i="34"/>
  <c r="F36" i="34"/>
  <c r="E36" i="34"/>
  <c r="D36" i="34"/>
  <c r="C36" i="34"/>
  <c r="J27" i="34"/>
  <c r="I27" i="34"/>
  <c r="H27" i="34"/>
  <c r="G27" i="34"/>
  <c r="F27" i="34"/>
  <c r="E27" i="34"/>
  <c r="D27" i="34"/>
  <c r="C27" i="34"/>
  <c r="J17" i="34"/>
  <c r="J110" i="34" s="1"/>
  <c r="I17" i="34"/>
  <c r="H17" i="34"/>
  <c r="G17" i="34"/>
  <c r="F17" i="34"/>
  <c r="E17" i="34"/>
  <c r="D17" i="34"/>
  <c r="C17" i="34"/>
  <c r="J59" i="33"/>
  <c r="I59" i="33"/>
  <c r="H59" i="33"/>
  <c r="G59" i="33"/>
  <c r="F59" i="33"/>
  <c r="E59" i="33"/>
  <c r="D59" i="33"/>
  <c r="C59" i="33"/>
  <c r="J52" i="33"/>
  <c r="I52" i="33"/>
  <c r="H52" i="33"/>
  <c r="G52" i="33"/>
  <c r="F52" i="33"/>
  <c r="E52" i="33"/>
  <c r="D52" i="33"/>
  <c r="C52" i="33"/>
  <c r="J44" i="33"/>
  <c r="I44" i="33"/>
  <c r="H44" i="33"/>
  <c r="G44" i="33"/>
  <c r="F44" i="33"/>
  <c r="E44" i="33"/>
  <c r="D44" i="33"/>
  <c r="C44" i="33"/>
  <c r="J36" i="33"/>
  <c r="I36" i="33"/>
  <c r="H36" i="33"/>
  <c r="G36" i="33"/>
  <c r="F36" i="33"/>
  <c r="E36" i="33"/>
  <c r="D36" i="33"/>
  <c r="C36" i="33"/>
  <c r="J26" i="33"/>
  <c r="I26" i="33"/>
  <c r="H26" i="33"/>
  <c r="G26" i="33"/>
  <c r="F26" i="33"/>
  <c r="E26" i="33"/>
  <c r="D26" i="33"/>
  <c r="C26" i="33"/>
  <c r="J109" i="28"/>
  <c r="I109" i="28"/>
  <c r="H109" i="28"/>
  <c r="G109" i="28"/>
  <c r="F109" i="28"/>
  <c r="E109" i="28"/>
  <c r="D109" i="28"/>
  <c r="C109" i="28"/>
  <c r="J99" i="28"/>
  <c r="I99" i="28"/>
  <c r="H99" i="28"/>
  <c r="G99" i="28"/>
  <c r="F99" i="28"/>
  <c r="E99" i="28"/>
  <c r="D99" i="28"/>
  <c r="C99" i="28"/>
  <c r="J91" i="28"/>
  <c r="I91" i="28"/>
  <c r="H91" i="28"/>
  <c r="G91" i="28"/>
  <c r="F91" i="28"/>
  <c r="E91" i="28"/>
  <c r="D91" i="28"/>
  <c r="C91" i="28"/>
  <c r="J84" i="28"/>
  <c r="J85" i="28" s="1"/>
  <c r="I84" i="28"/>
  <c r="I85" i="28" s="1"/>
  <c r="H84" i="28"/>
  <c r="H85" i="28" s="1"/>
  <c r="G84" i="28"/>
  <c r="G85" i="28" s="1"/>
  <c r="F84" i="28"/>
  <c r="F85" i="28" s="1"/>
  <c r="E84" i="28"/>
  <c r="E85" i="28" s="1"/>
  <c r="D84" i="28"/>
  <c r="D85" i="28" s="1"/>
  <c r="C84" i="28"/>
  <c r="C85" i="28" s="1"/>
  <c r="J79" i="28"/>
  <c r="I79" i="28"/>
  <c r="H79" i="28"/>
  <c r="G79" i="28"/>
  <c r="F79" i="28"/>
  <c r="E79" i="28"/>
  <c r="D79" i="28"/>
  <c r="C79" i="28"/>
  <c r="J51" i="28"/>
  <c r="I51" i="28"/>
  <c r="H51" i="28"/>
  <c r="G51" i="28"/>
  <c r="F51" i="28"/>
  <c r="E51" i="28"/>
  <c r="D51" i="28"/>
  <c r="C51" i="28"/>
  <c r="J43" i="28"/>
  <c r="I43" i="28"/>
  <c r="H43" i="28"/>
  <c r="G43" i="28"/>
  <c r="F43" i="28"/>
  <c r="E43" i="28"/>
  <c r="D43" i="28"/>
  <c r="C43" i="28"/>
  <c r="J36" i="28"/>
  <c r="I36" i="28"/>
  <c r="H36" i="28"/>
  <c r="G36" i="28"/>
  <c r="F36" i="28"/>
  <c r="E36" i="28"/>
  <c r="D36" i="28"/>
  <c r="C36" i="28"/>
  <c r="J26" i="28"/>
  <c r="I26" i="28"/>
  <c r="H26" i="28"/>
  <c r="G26" i="28"/>
  <c r="F26" i="28"/>
  <c r="E26" i="28"/>
  <c r="D26" i="28"/>
  <c r="C26" i="28"/>
  <c r="J25" i="28"/>
  <c r="I25" i="28"/>
  <c r="H25" i="28"/>
  <c r="G25" i="28"/>
  <c r="F25" i="28"/>
  <c r="E25" i="28"/>
  <c r="D25" i="28"/>
  <c r="C25" i="28"/>
  <c r="J24" i="28"/>
  <c r="I24" i="28"/>
  <c r="H24" i="28"/>
  <c r="G24" i="28"/>
  <c r="F24" i="28"/>
  <c r="E24" i="28"/>
  <c r="D24" i="28"/>
  <c r="C24" i="28"/>
  <c r="J23" i="28"/>
  <c r="I23" i="28"/>
  <c r="H23" i="28"/>
  <c r="G23" i="28"/>
  <c r="F23" i="28"/>
  <c r="E23" i="28"/>
  <c r="D23" i="28"/>
  <c r="C23" i="28"/>
  <c r="J21" i="28"/>
  <c r="I21" i="28"/>
  <c r="H21" i="28"/>
  <c r="G21" i="28"/>
  <c r="F21" i="28"/>
  <c r="E21" i="28"/>
  <c r="D21" i="28"/>
  <c r="C21" i="28"/>
  <c r="J20" i="28"/>
  <c r="I20" i="28"/>
  <c r="H20" i="28"/>
  <c r="G20" i="28"/>
  <c r="F20" i="28"/>
  <c r="E20" i="28"/>
  <c r="D20" i="28"/>
  <c r="C20" i="28"/>
  <c r="J19" i="28"/>
  <c r="J27" i="28" s="1"/>
  <c r="I19" i="28"/>
  <c r="I27" i="28" s="1"/>
  <c r="H19" i="28"/>
  <c r="H27" i="28" s="1"/>
  <c r="G19" i="28"/>
  <c r="F19" i="28"/>
  <c r="F27" i="28" s="1"/>
  <c r="E19" i="28"/>
  <c r="E27" i="28" s="1"/>
  <c r="D19" i="28"/>
  <c r="D27" i="28" s="1"/>
  <c r="C19" i="28"/>
  <c r="C27" i="28" s="1"/>
  <c r="J17" i="28"/>
  <c r="I17" i="28"/>
  <c r="H17" i="28"/>
  <c r="G17" i="28"/>
  <c r="F17" i="28"/>
  <c r="E17" i="28"/>
  <c r="D17" i="28"/>
  <c r="C17" i="28"/>
  <c r="J109" i="27"/>
  <c r="I109" i="27"/>
  <c r="H109" i="27"/>
  <c r="G109" i="27"/>
  <c r="F109" i="27"/>
  <c r="E109" i="27"/>
  <c r="D109" i="27"/>
  <c r="C109" i="27"/>
  <c r="J99" i="27"/>
  <c r="I99" i="27"/>
  <c r="H99" i="27"/>
  <c r="G99" i="27"/>
  <c r="F99" i="27"/>
  <c r="E99" i="27"/>
  <c r="D99" i="27"/>
  <c r="C99" i="27"/>
  <c r="J91" i="27"/>
  <c r="I91" i="27"/>
  <c r="H91" i="27"/>
  <c r="G91" i="27"/>
  <c r="F91" i="27"/>
  <c r="E91" i="27"/>
  <c r="D91" i="27"/>
  <c r="C91" i="27"/>
  <c r="J85" i="27"/>
  <c r="I85" i="27"/>
  <c r="H85" i="27"/>
  <c r="G85" i="27"/>
  <c r="F85" i="27"/>
  <c r="E85" i="27"/>
  <c r="D85" i="27"/>
  <c r="C85" i="27"/>
  <c r="J79" i="27"/>
  <c r="I79" i="27"/>
  <c r="H79" i="27"/>
  <c r="G79" i="27"/>
  <c r="F79" i="27"/>
  <c r="E79" i="27"/>
  <c r="D79" i="27"/>
  <c r="C79" i="27"/>
  <c r="J51" i="27"/>
  <c r="I51" i="27"/>
  <c r="H51" i="27"/>
  <c r="G51" i="27"/>
  <c r="F51" i="27"/>
  <c r="E51" i="27"/>
  <c r="D51" i="27"/>
  <c r="C51" i="27"/>
  <c r="J43" i="27"/>
  <c r="I43" i="27"/>
  <c r="H43" i="27"/>
  <c r="G43" i="27"/>
  <c r="F43" i="27"/>
  <c r="E43" i="27"/>
  <c r="D43" i="27"/>
  <c r="C43" i="27"/>
  <c r="J36" i="27"/>
  <c r="I36" i="27"/>
  <c r="H36" i="27"/>
  <c r="G36" i="27"/>
  <c r="F36" i="27"/>
  <c r="E36" i="27"/>
  <c r="D36" i="27"/>
  <c r="C36" i="27"/>
  <c r="J27" i="27"/>
  <c r="I27" i="27"/>
  <c r="H27" i="27"/>
  <c r="G27" i="27"/>
  <c r="F27" i="27"/>
  <c r="E27" i="27"/>
  <c r="D27" i="27"/>
  <c r="C27" i="27"/>
  <c r="J17" i="27"/>
  <c r="J110" i="27" s="1"/>
  <c r="I17" i="27"/>
  <c r="H17" i="27"/>
  <c r="G17" i="27"/>
  <c r="F17" i="27"/>
  <c r="E17" i="27"/>
  <c r="D17" i="27"/>
  <c r="C17" i="27"/>
  <c r="J111" i="26"/>
  <c r="I111" i="26"/>
  <c r="H111" i="26"/>
  <c r="G111" i="26"/>
  <c r="F111" i="26"/>
  <c r="E111" i="26"/>
  <c r="D111" i="26"/>
  <c r="C111" i="26"/>
  <c r="J101" i="26"/>
  <c r="I101" i="26"/>
  <c r="H101" i="26"/>
  <c r="G101" i="26"/>
  <c r="F101" i="26"/>
  <c r="E101" i="26"/>
  <c r="D101" i="26"/>
  <c r="C101" i="26"/>
  <c r="J93" i="26"/>
  <c r="I93" i="26"/>
  <c r="H93" i="26"/>
  <c r="G93" i="26"/>
  <c r="F93" i="26"/>
  <c r="E93" i="26"/>
  <c r="D93" i="26"/>
  <c r="C93" i="26"/>
  <c r="J87" i="26"/>
  <c r="I87" i="26"/>
  <c r="H87" i="26"/>
  <c r="G87" i="26"/>
  <c r="F87" i="26"/>
  <c r="E87" i="26"/>
  <c r="D87" i="26"/>
  <c r="C87" i="26"/>
  <c r="J81" i="26"/>
  <c r="I81" i="26"/>
  <c r="H81" i="26"/>
  <c r="G81" i="26"/>
  <c r="F81" i="26"/>
  <c r="E81" i="26"/>
  <c r="D81" i="26"/>
  <c r="C81" i="26"/>
  <c r="J51" i="26"/>
  <c r="I51" i="26"/>
  <c r="H51" i="26"/>
  <c r="G51" i="26"/>
  <c r="F51" i="26"/>
  <c r="E51" i="26"/>
  <c r="D51" i="26"/>
  <c r="C51" i="26"/>
  <c r="J43" i="26"/>
  <c r="I43" i="26"/>
  <c r="H43" i="26"/>
  <c r="G43" i="26"/>
  <c r="F43" i="26"/>
  <c r="E43" i="26"/>
  <c r="D43" i="26"/>
  <c r="C43" i="26"/>
  <c r="J36" i="26"/>
  <c r="I36" i="26"/>
  <c r="H36" i="26"/>
  <c r="G36" i="26"/>
  <c r="F36" i="26"/>
  <c r="E36" i="26"/>
  <c r="D36" i="26"/>
  <c r="C36" i="26"/>
  <c r="J27" i="26"/>
  <c r="I27" i="26"/>
  <c r="H27" i="26"/>
  <c r="G27" i="26"/>
  <c r="F27" i="26"/>
  <c r="E27" i="26"/>
  <c r="D27" i="26"/>
  <c r="C27" i="26"/>
  <c r="J17" i="26"/>
  <c r="I17" i="26"/>
  <c r="H17" i="26"/>
  <c r="G17" i="26"/>
  <c r="F17" i="26"/>
  <c r="E17" i="26"/>
  <c r="D17" i="26"/>
  <c r="C17" i="26"/>
  <c r="J110" i="25"/>
  <c r="I110" i="25"/>
  <c r="H110" i="25"/>
  <c r="G110" i="25"/>
  <c r="F110" i="25"/>
  <c r="E110" i="25"/>
  <c r="D110" i="25"/>
  <c r="C110" i="25"/>
  <c r="J100" i="25"/>
  <c r="I100" i="25"/>
  <c r="H100" i="25"/>
  <c r="G100" i="25"/>
  <c r="F100" i="25"/>
  <c r="E100" i="25"/>
  <c r="D100" i="25"/>
  <c r="C100" i="25"/>
  <c r="J92" i="25"/>
  <c r="I92" i="25"/>
  <c r="H92" i="25"/>
  <c r="G92" i="25"/>
  <c r="F92" i="25"/>
  <c r="E92" i="25"/>
  <c r="D92" i="25"/>
  <c r="C92" i="25"/>
  <c r="J86" i="25"/>
  <c r="I86" i="25"/>
  <c r="H86" i="25"/>
  <c r="G86" i="25"/>
  <c r="F86" i="25"/>
  <c r="E86" i="25"/>
  <c r="D86" i="25"/>
  <c r="C86" i="25"/>
  <c r="J80" i="25"/>
  <c r="I80" i="25"/>
  <c r="H80" i="25"/>
  <c r="G80" i="25"/>
  <c r="F80" i="25"/>
  <c r="E80" i="25"/>
  <c r="D80" i="25"/>
  <c r="C80" i="25"/>
  <c r="J51" i="25"/>
  <c r="I51" i="25"/>
  <c r="H51" i="25"/>
  <c r="G51" i="25"/>
  <c r="F51" i="25"/>
  <c r="E51" i="25"/>
  <c r="D51" i="25"/>
  <c r="C51" i="25"/>
  <c r="J43" i="25"/>
  <c r="I43" i="25"/>
  <c r="H43" i="25"/>
  <c r="G43" i="25"/>
  <c r="F43" i="25"/>
  <c r="E43" i="25"/>
  <c r="D43" i="25"/>
  <c r="C43" i="25"/>
  <c r="J36" i="25"/>
  <c r="I36" i="25"/>
  <c r="H36" i="25"/>
  <c r="G36" i="25"/>
  <c r="F36" i="25"/>
  <c r="E36" i="25"/>
  <c r="D36" i="25"/>
  <c r="C36" i="25"/>
  <c r="J27" i="25"/>
  <c r="I27" i="25"/>
  <c r="H27" i="25"/>
  <c r="G27" i="25"/>
  <c r="F27" i="25"/>
  <c r="E27" i="25"/>
  <c r="D27" i="25"/>
  <c r="C27" i="25"/>
  <c r="J17" i="25"/>
  <c r="I17" i="25"/>
  <c r="H17" i="25"/>
  <c r="G17" i="25"/>
  <c r="F17" i="25"/>
  <c r="E17" i="25"/>
  <c r="D17" i="25"/>
  <c r="C17" i="25"/>
  <c r="J110" i="24"/>
  <c r="I110" i="24"/>
  <c r="H110" i="24"/>
  <c r="G110" i="24"/>
  <c r="F110" i="24"/>
  <c r="E110" i="24"/>
  <c r="D110" i="24"/>
  <c r="C110" i="24"/>
  <c r="J100" i="24"/>
  <c r="I100" i="24"/>
  <c r="H100" i="24"/>
  <c r="G100" i="24"/>
  <c r="F100" i="24"/>
  <c r="E100" i="24"/>
  <c r="D100" i="24"/>
  <c r="C100" i="24"/>
  <c r="J92" i="24"/>
  <c r="I92" i="24"/>
  <c r="H92" i="24"/>
  <c r="F92" i="24"/>
  <c r="E92" i="24"/>
  <c r="D92" i="24"/>
  <c r="C92" i="24"/>
  <c r="J86" i="24"/>
  <c r="I86" i="24"/>
  <c r="H86" i="24"/>
  <c r="G86" i="24"/>
  <c r="F86" i="24"/>
  <c r="E86" i="24"/>
  <c r="D86" i="24"/>
  <c r="C86" i="24"/>
  <c r="J80" i="24"/>
  <c r="I80" i="24"/>
  <c r="H80" i="24"/>
  <c r="G80" i="24"/>
  <c r="F80" i="24"/>
  <c r="E80" i="24"/>
  <c r="D80" i="24"/>
  <c r="C80" i="24"/>
  <c r="J51" i="24"/>
  <c r="I51" i="24"/>
  <c r="H51" i="24"/>
  <c r="G51" i="24"/>
  <c r="F51" i="24"/>
  <c r="E51" i="24"/>
  <c r="D51" i="24"/>
  <c r="C51" i="24"/>
  <c r="J43" i="24"/>
  <c r="I43" i="24"/>
  <c r="H43" i="24"/>
  <c r="G43" i="24"/>
  <c r="F43" i="24"/>
  <c r="E43" i="24"/>
  <c r="D43" i="24"/>
  <c r="C43" i="24"/>
  <c r="J36" i="24"/>
  <c r="I36" i="24"/>
  <c r="H36" i="24"/>
  <c r="G36" i="24"/>
  <c r="F36" i="24"/>
  <c r="E36" i="24"/>
  <c r="D36" i="24"/>
  <c r="C36" i="24"/>
  <c r="J27" i="24"/>
  <c r="I27" i="24"/>
  <c r="H27" i="24"/>
  <c r="G27" i="24"/>
  <c r="F27" i="24"/>
  <c r="E27" i="24"/>
  <c r="D27" i="24"/>
  <c r="C27" i="24"/>
  <c r="J17" i="24"/>
  <c r="I17" i="24"/>
  <c r="H17" i="24"/>
  <c r="G17" i="24"/>
  <c r="F17" i="24"/>
  <c r="E17" i="24"/>
  <c r="C17" i="24"/>
  <c r="I109" i="21"/>
  <c r="H109" i="21"/>
  <c r="G109" i="21"/>
  <c r="F109" i="21"/>
  <c r="E109" i="21"/>
  <c r="D109" i="21"/>
  <c r="C109" i="21"/>
  <c r="J99" i="21"/>
  <c r="I99" i="21"/>
  <c r="H99" i="21"/>
  <c r="G99" i="21"/>
  <c r="F99" i="21"/>
  <c r="E99" i="21"/>
  <c r="D99" i="21"/>
  <c r="C99" i="21"/>
  <c r="J91" i="21"/>
  <c r="I91" i="21"/>
  <c r="H91" i="21"/>
  <c r="G91" i="21"/>
  <c r="F91" i="21"/>
  <c r="E91" i="21"/>
  <c r="D91" i="21"/>
  <c r="C91" i="21"/>
  <c r="J85" i="21"/>
  <c r="I85" i="21"/>
  <c r="H85" i="21"/>
  <c r="G85" i="21"/>
  <c r="F85" i="21"/>
  <c r="E85" i="21"/>
  <c r="D85" i="21"/>
  <c r="C85" i="21"/>
  <c r="J79" i="21"/>
  <c r="I79" i="21"/>
  <c r="H79" i="21"/>
  <c r="G79" i="21"/>
  <c r="F79" i="21"/>
  <c r="E79" i="21"/>
  <c r="D79" i="21"/>
  <c r="C79" i="21"/>
  <c r="J51" i="21"/>
  <c r="I51" i="21"/>
  <c r="H51" i="21"/>
  <c r="G51" i="21"/>
  <c r="F51" i="21"/>
  <c r="E51" i="21"/>
  <c r="D51" i="21"/>
  <c r="C51" i="21"/>
  <c r="J43" i="21"/>
  <c r="I43" i="21"/>
  <c r="H43" i="21"/>
  <c r="G43" i="21"/>
  <c r="F43" i="21"/>
  <c r="E43" i="21"/>
  <c r="D43" i="21"/>
  <c r="C43" i="21"/>
  <c r="J36" i="21"/>
  <c r="I36" i="21"/>
  <c r="H36" i="21"/>
  <c r="G36" i="21"/>
  <c r="F36" i="21"/>
  <c r="E36" i="21"/>
  <c r="D36" i="21"/>
  <c r="C36" i="21"/>
  <c r="J27" i="21"/>
  <c r="I27" i="21"/>
  <c r="H27" i="21"/>
  <c r="G27" i="21"/>
  <c r="F27" i="21"/>
  <c r="E27" i="21"/>
  <c r="D27" i="21"/>
  <c r="J17" i="21"/>
  <c r="I17" i="21"/>
  <c r="H17" i="21"/>
  <c r="G17" i="21"/>
  <c r="F17" i="21"/>
  <c r="E17" i="21"/>
  <c r="D17" i="21"/>
  <c r="J114" i="20"/>
  <c r="I114" i="20"/>
  <c r="H114" i="20"/>
  <c r="G114" i="20"/>
  <c r="F114" i="20"/>
  <c r="E114" i="20"/>
  <c r="D114" i="20"/>
  <c r="C114" i="20"/>
  <c r="J104" i="20"/>
  <c r="I104" i="20"/>
  <c r="F104" i="20"/>
  <c r="E104" i="20"/>
  <c r="D104" i="20"/>
  <c r="C104" i="20"/>
  <c r="J96" i="20"/>
  <c r="I96" i="20"/>
  <c r="H96" i="20"/>
  <c r="G96" i="20"/>
  <c r="F96" i="20"/>
  <c r="E96" i="20"/>
  <c r="D96" i="20"/>
  <c r="C96" i="20"/>
  <c r="J90" i="20"/>
  <c r="I90" i="20"/>
  <c r="H90" i="20"/>
  <c r="G90" i="20"/>
  <c r="F90" i="20"/>
  <c r="E90" i="20"/>
  <c r="D90" i="20"/>
  <c r="C90" i="20"/>
  <c r="J84" i="20"/>
  <c r="I84" i="20"/>
  <c r="H84" i="20"/>
  <c r="G84" i="20"/>
  <c r="F84" i="20"/>
  <c r="E84" i="20"/>
  <c r="C84" i="20"/>
  <c r="J51" i="20"/>
  <c r="I51" i="20"/>
  <c r="H51" i="20"/>
  <c r="G51" i="20"/>
  <c r="E51" i="20"/>
  <c r="D51" i="20"/>
  <c r="C51" i="20"/>
  <c r="J43" i="20"/>
  <c r="I43" i="20"/>
  <c r="H43" i="20"/>
  <c r="G43" i="20"/>
  <c r="F43" i="20"/>
  <c r="E43" i="20"/>
  <c r="D43" i="20"/>
  <c r="C43" i="20"/>
  <c r="I36" i="20"/>
  <c r="J36" i="20"/>
  <c r="H36" i="20"/>
  <c r="G36" i="20"/>
  <c r="F36" i="20"/>
  <c r="E36" i="20"/>
  <c r="D36" i="20"/>
  <c r="C36" i="20"/>
  <c r="J27" i="20"/>
  <c r="I27" i="20"/>
  <c r="H27" i="20"/>
  <c r="G27" i="20"/>
  <c r="F27" i="20"/>
  <c r="E27" i="20"/>
  <c r="J17" i="20"/>
  <c r="I17" i="20"/>
  <c r="H17" i="20"/>
  <c r="G17" i="20"/>
  <c r="F17" i="20"/>
  <c r="E17" i="20"/>
  <c r="D17" i="20"/>
  <c r="J114" i="19"/>
  <c r="I114" i="19"/>
  <c r="H114" i="19"/>
  <c r="G114" i="19"/>
  <c r="F114" i="19"/>
  <c r="E114" i="19"/>
  <c r="D114" i="19"/>
  <c r="C114" i="19"/>
  <c r="J104" i="19"/>
  <c r="I104" i="19"/>
  <c r="H104" i="19"/>
  <c r="G104" i="19"/>
  <c r="F104" i="19"/>
  <c r="E104" i="19"/>
  <c r="D104" i="19"/>
  <c r="C104" i="19"/>
  <c r="J96" i="19"/>
  <c r="I96" i="19"/>
  <c r="H96" i="19"/>
  <c r="G96" i="19"/>
  <c r="F96" i="19"/>
  <c r="E96" i="19"/>
  <c r="D96" i="19"/>
  <c r="C96" i="19"/>
  <c r="J90" i="19"/>
  <c r="I90" i="19"/>
  <c r="H90" i="19"/>
  <c r="G90" i="19"/>
  <c r="F90" i="19"/>
  <c r="E90" i="19"/>
  <c r="D90" i="19"/>
  <c r="C90" i="19"/>
  <c r="J84" i="19"/>
  <c r="I84" i="19"/>
  <c r="H84" i="19"/>
  <c r="G84" i="19"/>
  <c r="F84" i="19"/>
  <c r="E84" i="19"/>
  <c r="D84" i="19"/>
  <c r="C84" i="19"/>
  <c r="J53" i="19"/>
  <c r="I53" i="19"/>
  <c r="H53" i="19"/>
  <c r="G53" i="19"/>
  <c r="F53" i="19"/>
  <c r="E53" i="19"/>
  <c r="D53" i="19"/>
  <c r="C53" i="19"/>
  <c r="J45" i="19"/>
  <c r="I45" i="19"/>
  <c r="H45" i="19"/>
  <c r="F45" i="19"/>
  <c r="E45" i="19"/>
  <c r="D45" i="19"/>
  <c r="C45" i="19"/>
  <c r="J38" i="19"/>
  <c r="I38" i="19"/>
  <c r="H38" i="19"/>
  <c r="G38" i="19"/>
  <c r="F38" i="19"/>
  <c r="E38" i="19"/>
  <c r="D38" i="19"/>
  <c r="C38" i="19"/>
  <c r="J29" i="19"/>
  <c r="I29" i="19"/>
  <c r="H29" i="19"/>
  <c r="G29" i="19"/>
  <c r="F29" i="19"/>
  <c r="E29" i="19"/>
  <c r="D29" i="19"/>
  <c r="C29" i="19"/>
  <c r="J19" i="19"/>
  <c r="I19" i="19"/>
  <c r="H19" i="19"/>
  <c r="G19" i="19"/>
  <c r="F19" i="19"/>
  <c r="E19" i="19"/>
  <c r="C19" i="19"/>
  <c r="J111" i="25" l="1"/>
  <c r="I110" i="27"/>
  <c r="I110" i="28"/>
  <c r="I110" i="34"/>
  <c r="C110" i="34"/>
  <c r="I111" i="25"/>
  <c r="E112" i="26"/>
  <c r="J112" i="26"/>
  <c r="F112" i="26"/>
  <c r="F110" i="27"/>
  <c r="E110" i="27"/>
  <c r="F110" i="28"/>
  <c r="H110" i="34"/>
  <c r="F110" i="34"/>
  <c r="D110" i="28"/>
  <c r="J110" i="28"/>
  <c r="C142" i="33"/>
  <c r="I142" i="33"/>
  <c r="J142" i="33"/>
  <c r="H115" i="19"/>
  <c r="J115" i="20"/>
  <c r="I115" i="19"/>
  <c r="F115" i="19"/>
  <c r="J115" i="19"/>
  <c r="C115" i="19"/>
  <c r="C27" i="20"/>
  <c r="C17" i="20"/>
  <c r="H110" i="28"/>
  <c r="I115" i="20"/>
  <c r="G45" i="19"/>
  <c r="G115" i="19" s="1"/>
  <c r="D27" i="20"/>
  <c r="D84" i="20"/>
  <c r="H104" i="20"/>
  <c r="H115" i="20" s="1"/>
  <c r="F51" i="20"/>
  <c r="F115" i="20" s="1"/>
  <c r="E115" i="19"/>
  <c r="I110" i="21"/>
  <c r="G110" i="21"/>
  <c r="C110" i="21"/>
  <c r="H110" i="21"/>
  <c r="F110" i="21"/>
  <c r="D110" i="21"/>
  <c r="E110" i="21"/>
  <c r="D19" i="19"/>
  <c r="D115" i="19" s="1"/>
  <c r="J109" i="21"/>
  <c r="J110" i="21" s="1"/>
  <c r="H111" i="24"/>
  <c r="J111" i="24"/>
  <c r="I111" i="24"/>
  <c r="F111" i="24"/>
  <c r="E111" i="24"/>
  <c r="G111" i="24"/>
  <c r="C111" i="24"/>
  <c r="D111" i="24"/>
  <c r="H111" i="25"/>
  <c r="E111" i="25"/>
  <c r="G111" i="25"/>
  <c r="F111" i="25"/>
  <c r="C111" i="25"/>
  <c r="D111" i="25"/>
  <c r="H112" i="26"/>
  <c r="C112" i="26"/>
  <c r="I112" i="26"/>
  <c r="G112" i="26"/>
  <c r="D112" i="26"/>
  <c r="H110" i="27"/>
  <c r="G110" i="27"/>
  <c r="C110" i="27"/>
  <c r="D110" i="27"/>
  <c r="E110" i="28"/>
  <c r="G27" i="28"/>
  <c r="G110" i="28" s="1"/>
  <c r="C110" i="28"/>
  <c r="H142" i="33"/>
  <c r="G142" i="33"/>
  <c r="E142" i="33"/>
  <c r="F142" i="33"/>
  <c r="D142" i="33"/>
  <c r="G104" i="20"/>
  <c r="G115" i="20" s="1"/>
  <c r="D110" i="34"/>
  <c r="G110" i="34"/>
  <c r="E110" i="34"/>
  <c r="E115" i="20"/>
  <c r="C115" i="20" l="1"/>
  <c r="D115" i="20"/>
  <c r="J114" i="18"/>
  <c r="I114" i="18"/>
  <c r="H114" i="18"/>
  <c r="G114" i="18"/>
  <c r="F114" i="18"/>
  <c r="E114" i="18"/>
  <c r="D114" i="18"/>
  <c r="C114" i="18"/>
  <c r="J104" i="18"/>
  <c r="I104" i="18"/>
  <c r="H104" i="18"/>
  <c r="G104" i="18"/>
  <c r="F104" i="18"/>
  <c r="E104" i="18"/>
  <c r="D104" i="18"/>
  <c r="C104" i="18"/>
  <c r="J96" i="18"/>
  <c r="I96" i="18"/>
  <c r="H96" i="18"/>
  <c r="G96" i="18"/>
  <c r="F96" i="18"/>
  <c r="E96" i="18"/>
  <c r="D96" i="18"/>
  <c r="C96" i="18"/>
  <c r="J90" i="18"/>
  <c r="I90" i="18"/>
  <c r="H90" i="18"/>
  <c r="G90" i="18"/>
  <c r="F90" i="18"/>
  <c r="E90" i="18"/>
  <c r="D90" i="18"/>
  <c r="C90" i="18"/>
  <c r="J84" i="18"/>
  <c r="I84" i="18"/>
  <c r="H84" i="18"/>
  <c r="G84" i="18"/>
  <c r="F84" i="18"/>
  <c r="E84" i="18"/>
  <c r="D84" i="18"/>
  <c r="C84" i="18"/>
  <c r="J51" i="18"/>
  <c r="I51" i="18"/>
  <c r="H51" i="18"/>
  <c r="G51" i="18"/>
  <c r="F51" i="18"/>
  <c r="E51" i="18"/>
  <c r="D51" i="18"/>
  <c r="C51" i="18"/>
  <c r="J43" i="18"/>
  <c r="I43" i="18"/>
  <c r="H43" i="18"/>
  <c r="G43" i="18"/>
  <c r="F43" i="18"/>
  <c r="E43" i="18"/>
  <c r="D43" i="18"/>
  <c r="C43" i="18"/>
  <c r="J36" i="18"/>
  <c r="I36" i="18"/>
  <c r="H36" i="18"/>
  <c r="G36" i="18"/>
  <c r="F36" i="18"/>
  <c r="E36" i="18"/>
  <c r="D36" i="18"/>
  <c r="C36" i="18"/>
  <c r="J27" i="18"/>
  <c r="I27" i="18"/>
  <c r="H27" i="18"/>
  <c r="G27" i="18"/>
  <c r="F27" i="18"/>
  <c r="E27" i="18"/>
  <c r="D27" i="18"/>
  <c r="C27" i="18"/>
  <c r="J17" i="18"/>
  <c r="I17" i="18"/>
  <c r="H17" i="18"/>
  <c r="G17" i="18"/>
  <c r="F17" i="18"/>
  <c r="E17" i="18"/>
  <c r="D17" i="18"/>
  <c r="C17" i="18"/>
  <c r="D115" i="18" l="1"/>
  <c r="J115" i="18"/>
  <c r="C115" i="18"/>
  <c r="H115" i="18"/>
  <c r="I115" i="18"/>
  <c r="G115" i="18"/>
  <c r="E115" i="18"/>
  <c r="F115" i="18"/>
  <c r="D22" i="12"/>
  <c r="I22" i="13"/>
  <c r="J22" i="13"/>
  <c r="J16" i="17"/>
  <c r="J18" i="17" s="1"/>
  <c r="I16" i="17"/>
  <c r="I18" i="17" s="1"/>
  <c r="H16" i="17"/>
  <c r="H18" i="17" s="1"/>
  <c r="G16" i="17"/>
  <c r="G18" i="17" s="1"/>
  <c r="F16" i="17"/>
  <c r="F18" i="17" s="1"/>
  <c r="E16" i="17"/>
  <c r="E18" i="17" s="1"/>
  <c r="D16" i="17"/>
  <c r="D18" i="17" s="1"/>
  <c r="C16" i="17"/>
  <c r="C18" i="17" s="1"/>
  <c r="J18" i="16"/>
  <c r="J20" i="16" s="1"/>
  <c r="I18" i="16"/>
  <c r="I20" i="16" s="1"/>
  <c r="H18" i="16"/>
  <c r="H20" i="16" s="1"/>
  <c r="G18" i="16"/>
  <c r="G20" i="16" s="1"/>
  <c r="F18" i="16"/>
  <c r="F20" i="16" s="1"/>
  <c r="E18" i="16"/>
  <c r="E20" i="16" s="1"/>
  <c r="D18" i="16"/>
  <c r="D20" i="16" s="1"/>
  <c r="C18" i="16"/>
  <c r="C20" i="16" s="1"/>
  <c r="D20" i="11" l="1"/>
  <c r="E20" i="11"/>
  <c r="F20" i="11"/>
  <c r="G20" i="11"/>
  <c r="H20" i="11"/>
  <c r="I20" i="11"/>
  <c r="J20" i="11"/>
  <c r="C20" i="11"/>
  <c r="J38" i="15"/>
  <c r="I38" i="15"/>
  <c r="H38" i="15"/>
  <c r="G38" i="15"/>
  <c r="F38" i="15"/>
  <c r="E38" i="15"/>
  <c r="D38" i="15"/>
  <c r="C38" i="15"/>
  <c r="I37" i="15"/>
  <c r="H37" i="15"/>
  <c r="D37" i="15"/>
  <c r="J23" i="14"/>
  <c r="J25" i="14" s="1"/>
  <c r="I23" i="14"/>
  <c r="I25" i="14" s="1"/>
  <c r="H23" i="14"/>
  <c r="H25" i="14" s="1"/>
  <c r="G23" i="14"/>
  <c r="G25" i="14" s="1"/>
  <c r="F23" i="14"/>
  <c r="F25" i="14" s="1"/>
  <c r="E23" i="14"/>
  <c r="E25" i="14" s="1"/>
  <c r="D23" i="14"/>
  <c r="D25" i="14" s="1"/>
  <c r="C23" i="14"/>
  <c r="C25" i="14" s="1"/>
  <c r="J24" i="13"/>
  <c r="I24" i="13"/>
  <c r="H22" i="13"/>
  <c r="H24" i="13" s="1"/>
  <c r="G22" i="13"/>
  <c r="G24" i="13" s="1"/>
  <c r="F22" i="13"/>
  <c r="F24" i="13" s="1"/>
  <c r="E22" i="13"/>
  <c r="E24" i="13" s="1"/>
  <c r="D22" i="13"/>
  <c r="D24" i="13" s="1"/>
  <c r="C22" i="13"/>
  <c r="C24" i="13" s="1"/>
  <c r="J23" i="12"/>
  <c r="I23" i="12"/>
  <c r="H23" i="12"/>
  <c r="G23" i="12"/>
  <c r="F23" i="12"/>
  <c r="E23" i="12"/>
  <c r="D23" i="12"/>
  <c r="C23" i="12"/>
  <c r="J22" i="12"/>
  <c r="J24" i="12" s="1"/>
  <c r="J26" i="12" s="1"/>
  <c r="I22" i="12"/>
  <c r="H22" i="12"/>
  <c r="G22" i="12"/>
  <c r="F22" i="12"/>
  <c r="E22" i="12"/>
  <c r="C22" i="12"/>
  <c r="J19" i="12"/>
  <c r="J21" i="12" s="1"/>
  <c r="I19" i="12"/>
  <c r="I21" i="12" s="1"/>
  <c r="H19" i="12"/>
  <c r="H21" i="12" s="1"/>
  <c r="G19" i="12"/>
  <c r="G21" i="12" s="1"/>
  <c r="F19" i="12"/>
  <c r="F21" i="12" s="1"/>
  <c r="E19" i="12"/>
  <c r="E21" i="12" s="1"/>
  <c r="D19" i="12"/>
  <c r="D21" i="12" s="1"/>
  <c r="C19" i="12"/>
  <c r="C21" i="12" s="1"/>
  <c r="J14" i="12"/>
  <c r="J16" i="12" s="1"/>
  <c r="I14" i="12"/>
  <c r="I16" i="12" s="1"/>
  <c r="H14" i="12"/>
  <c r="H16" i="12" s="1"/>
  <c r="G14" i="12"/>
  <c r="G16" i="12" s="1"/>
  <c r="F14" i="12"/>
  <c r="F16" i="12" s="1"/>
  <c r="E14" i="12"/>
  <c r="E16" i="12" s="1"/>
  <c r="D14" i="12"/>
  <c r="D16" i="12" s="1"/>
  <c r="C14" i="12"/>
  <c r="J28" i="11"/>
  <c r="I28" i="11"/>
  <c r="H28" i="11"/>
  <c r="G28" i="11"/>
  <c r="F28" i="11"/>
  <c r="E28" i="11"/>
  <c r="D28" i="11"/>
  <c r="C28" i="11"/>
  <c r="J23" i="11"/>
  <c r="J25" i="11" s="1"/>
  <c r="I23" i="11"/>
  <c r="I25" i="11" s="1"/>
  <c r="H23" i="11"/>
  <c r="H25" i="11" s="1"/>
  <c r="G23" i="11"/>
  <c r="G25" i="11" s="1"/>
  <c r="F23" i="11"/>
  <c r="F25" i="11" s="1"/>
  <c r="E23" i="11"/>
  <c r="E25" i="11" s="1"/>
  <c r="D23" i="11"/>
  <c r="D25" i="11" s="1"/>
  <c r="C23" i="11"/>
  <c r="C25" i="11" s="1"/>
  <c r="J17" i="11"/>
  <c r="I17" i="11"/>
  <c r="H17" i="11"/>
  <c r="G17" i="11"/>
  <c r="F17" i="11"/>
  <c r="E17" i="11"/>
  <c r="D17" i="11"/>
  <c r="C17" i="11"/>
  <c r="J14" i="11"/>
  <c r="I14" i="11"/>
  <c r="H14" i="11"/>
  <c r="G14" i="11"/>
  <c r="F14" i="11"/>
  <c r="E14" i="11"/>
  <c r="D14" i="11"/>
  <c r="C14" i="11"/>
  <c r="J19" i="10"/>
  <c r="I19" i="10"/>
  <c r="H19" i="10"/>
  <c r="G19" i="10"/>
  <c r="G21" i="10" s="1"/>
  <c r="F19" i="10"/>
  <c r="F21" i="10" s="1"/>
  <c r="E19" i="10"/>
  <c r="E21" i="10" s="1"/>
  <c r="D19" i="10"/>
  <c r="D21" i="10" s="1"/>
  <c r="C19" i="10"/>
  <c r="C21" i="10" s="1"/>
  <c r="J18" i="10"/>
  <c r="I18" i="10"/>
  <c r="H18" i="10"/>
  <c r="G18" i="10"/>
  <c r="F18" i="10"/>
  <c r="E18" i="10"/>
  <c r="D18" i="10"/>
  <c r="C18" i="10"/>
  <c r="J15" i="10"/>
  <c r="I15" i="10"/>
  <c r="H15" i="10"/>
  <c r="G15" i="10"/>
  <c r="F15" i="10"/>
  <c r="E15" i="10"/>
  <c r="D15" i="10"/>
  <c r="C15" i="10"/>
  <c r="J22" i="9"/>
  <c r="I22" i="9"/>
  <c r="H22" i="9"/>
  <c r="G22" i="9"/>
  <c r="F22" i="9"/>
  <c r="E22" i="9"/>
  <c r="D22" i="9"/>
  <c r="C22" i="9"/>
  <c r="J19" i="9"/>
  <c r="I19" i="9"/>
  <c r="H19" i="9"/>
  <c r="G19" i="9"/>
  <c r="F19" i="9"/>
  <c r="E19" i="9"/>
  <c r="D19" i="9"/>
  <c r="C19" i="9"/>
  <c r="C24" i="12" l="1"/>
  <c r="C26" i="12" s="1"/>
  <c r="I39" i="15"/>
  <c r="F37" i="15"/>
  <c r="F39" i="15" s="1"/>
  <c r="E37" i="15"/>
  <c r="E39" i="15" s="1"/>
  <c r="G37" i="15"/>
  <c r="G39" i="15" s="1"/>
  <c r="H24" i="12"/>
  <c r="H26" i="12" s="1"/>
  <c r="D39" i="15"/>
  <c r="H39" i="15"/>
  <c r="J29" i="11"/>
  <c r="J31" i="11" s="1"/>
  <c r="H29" i="11"/>
  <c r="H31" i="11" s="1"/>
  <c r="F29" i="11"/>
  <c r="F31" i="11" s="1"/>
  <c r="C29" i="11"/>
  <c r="C31" i="11" s="1"/>
  <c r="D29" i="11"/>
  <c r="D31" i="11" s="1"/>
  <c r="I24" i="12"/>
  <c r="I26" i="12" s="1"/>
  <c r="G24" i="12"/>
  <c r="G26" i="12" s="1"/>
  <c r="E24" i="12"/>
  <c r="E26" i="12" s="1"/>
  <c r="D24" i="12"/>
  <c r="D26" i="12" s="1"/>
  <c r="F24" i="12"/>
  <c r="F26" i="12" s="1"/>
  <c r="J37" i="15"/>
  <c r="J39" i="15" s="1"/>
  <c r="I29" i="11"/>
  <c r="I31" i="11" s="1"/>
  <c r="G29" i="11"/>
  <c r="G31" i="11" s="1"/>
  <c r="E29" i="11"/>
  <c r="E31" i="11" s="1"/>
  <c r="C37" i="15"/>
  <c r="C39" i="15" s="1"/>
  <c r="E23" i="2" l="1"/>
  <c r="F23" i="2"/>
  <c r="G23" i="2"/>
  <c r="H23" i="2"/>
  <c r="I23" i="2"/>
  <c r="J23" i="2"/>
  <c r="D23" i="2"/>
  <c r="C27" i="6" l="1"/>
  <c r="C28" i="6" s="1"/>
  <c r="J104" i="8" l="1"/>
  <c r="I104" i="8"/>
  <c r="H104" i="8"/>
  <c r="G104" i="8"/>
  <c r="F104" i="8"/>
  <c r="E104" i="8"/>
  <c r="D104" i="8"/>
  <c r="C104" i="8"/>
  <c r="J94" i="8"/>
  <c r="I94" i="8"/>
  <c r="H94" i="8"/>
  <c r="G94" i="8"/>
  <c r="F94" i="8"/>
  <c r="E94" i="8"/>
  <c r="D94" i="8"/>
  <c r="C94" i="8"/>
  <c r="J86" i="8"/>
  <c r="I86" i="8"/>
  <c r="H86" i="8"/>
  <c r="G86" i="8"/>
  <c r="F86" i="8"/>
  <c r="E86" i="8"/>
  <c r="D86" i="8"/>
  <c r="C86" i="8"/>
  <c r="J80" i="8"/>
  <c r="I80" i="8"/>
  <c r="H80" i="8"/>
  <c r="G80" i="8"/>
  <c r="F80" i="8"/>
  <c r="E80" i="8"/>
  <c r="D80" i="8"/>
  <c r="C80" i="8"/>
  <c r="J74" i="8"/>
  <c r="I74" i="8"/>
  <c r="H74" i="8"/>
  <c r="G74" i="8"/>
  <c r="F74" i="8"/>
  <c r="E74" i="8"/>
  <c r="D74" i="8"/>
  <c r="C74" i="8"/>
  <c r="J52" i="8"/>
  <c r="I52" i="8"/>
  <c r="H52" i="8"/>
  <c r="G52" i="8"/>
  <c r="F52" i="8"/>
  <c r="E52" i="8"/>
  <c r="D52" i="8"/>
  <c r="C52" i="8"/>
  <c r="J44" i="8"/>
  <c r="I44" i="8"/>
  <c r="H44" i="8"/>
  <c r="G44" i="8"/>
  <c r="F44" i="8"/>
  <c r="E44" i="8"/>
  <c r="D44" i="8"/>
  <c r="C44" i="8"/>
  <c r="J37" i="8"/>
  <c r="I37" i="8"/>
  <c r="H37" i="8"/>
  <c r="G37" i="8"/>
  <c r="F37" i="8"/>
  <c r="E37" i="8"/>
  <c r="D37" i="8"/>
  <c r="C37" i="8"/>
  <c r="J28" i="8"/>
  <c r="I28" i="8"/>
  <c r="H28" i="8"/>
  <c r="G28" i="8"/>
  <c r="F28" i="8"/>
  <c r="E28" i="8"/>
  <c r="D28" i="8"/>
  <c r="C28" i="8"/>
  <c r="J18" i="8"/>
  <c r="I18" i="8"/>
  <c r="H18" i="8"/>
  <c r="G18" i="8"/>
  <c r="F18" i="8"/>
  <c r="E18" i="8"/>
  <c r="D18" i="8"/>
  <c r="C18" i="8"/>
  <c r="J105" i="7"/>
  <c r="I105" i="7"/>
  <c r="H105" i="7"/>
  <c r="G105" i="7"/>
  <c r="F105" i="7"/>
  <c r="E105" i="7"/>
  <c r="D105" i="7"/>
  <c r="C105" i="7"/>
  <c r="J95" i="7"/>
  <c r="I95" i="7"/>
  <c r="H95" i="7"/>
  <c r="G95" i="7"/>
  <c r="F95" i="7"/>
  <c r="E95" i="7"/>
  <c r="D95" i="7"/>
  <c r="C95" i="7"/>
  <c r="J87" i="7"/>
  <c r="I87" i="7"/>
  <c r="H87" i="7"/>
  <c r="G87" i="7"/>
  <c r="F87" i="7"/>
  <c r="E87" i="7"/>
  <c r="D87" i="7"/>
  <c r="C87" i="7"/>
  <c r="J81" i="7"/>
  <c r="I81" i="7"/>
  <c r="H81" i="7"/>
  <c r="G81" i="7"/>
  <c r="F81" i="7"/>
  <c r="E81" i="7"/>
  <c r="D81" i="7"/>
  <c r="C81" i="7"/>
  <c r="J75" i="7"/>
  <c r="I75" i="7"/>
  <c r="H75" i="7"/>
  <c r="G75" i="7"/>
  <c r="F75" i="7"/>
  <c r="E75" i="7"/>
  <c r="D75" i="7"/>
  <c r="C75" i="7"/>
  <c r="J53" i="7"/>
  <c r="I53" i="7"/>
  <c r="H53" i="7"/>
  <c r="G53" i="7"/>
  <c r="F53" i="7"/>
  <c r="E53" i="7"/>
  <c r="D53" i="7"/>
  <c r="C53" i="7"/>
  <c r="J45" i="7"/>
  <c r="I45" i="7"/>
  <c r="H45" i="7"/>
  <c r="G45" i="7"/>
  <c r="F45" i="7"/>
  <c r="E45" i="7"/>
  <c r="D45" i="7"/>
  <c r="C45" i="7"/>
  <c r="J38" i="7"/>
  <c r="I38" i="7"/>
  <c r="H38" i="7"/>
  <c r="G38" i="7"/>
  <c r="F38" i="7"/>
  <c r="E38" i="7"/>
  <c r="D38" i="7"/>
  <c r="C38" i="7"/>
  <c r="J29" i="7"/>
  <c r="I29" i="7"/>
  <c r="H29" i="7"/>
  <c r="G29" i="7"/>
  <c r="F29" i="7"/>
  <c r="E29" i="7"/>
  <c r="D29" i="7"/>
  <c r="C29" i="7"/>
  <c r="J19" i="7"/>
  <c r="I19" i="7"/>
  <c r="H19" i="7"/>
  <c r="G19" i="7"/>
  <c r="F19" i="7"/>
  <c r="E19" i="7"/>
  <c r="D19" i="7"/>
  <c r="C19" i="7"/>
  <c r="J27" i="6"/>
  <c r="J28" i="6" s="1"/>
  <c r="I27" i="6"/>
  <c r="I28" i="6" s="1"/>
  <c r="H27" i="6"/>
  <c r="H28" i="6" s="1"/>
  <c r="G27" i="6"/>
  <c r="G28" i="6" s="1"/>
  <c r="F27" i="6"/>
  <c r="F28" i="6" s="1"/>
  <c r="E27" i="6"/>
  <c r="E28" i="6" s="1"/>
  <c r="D27" i="6"/>
  <c r="D28" i="6" s="1"/>
  <c r="J100" i="5"/>
  <c r="I100" i="5"/>
  <c r="H100" i="5"/>
  <c r="G100" i="5"/>
  <c r="F100" i="5"/>
  <c r="E100" i="5"/>
  <c r="D100" i="5"/>
  <c r="C100" i="5"/>
  <c r="J92" i="5"/>
  <c r="I92" i="5"/>
  <c r="H92" i="5"/>
  <c r="G92" i="5"/>
  <c r="F92" i="5"/>
  <c r="E92" i="5"/>
  <c r="D92" i="5"/>
  <c r="C92" i="5"/>
  <c r="J85" i="5"/>
  <c r="I85" i="5"/>
  <c r="H85" i="5"/>
  <c r="G85" i="5"/>
  <c r="F85" i="5"/>
  <c r="E85" i="5"/>
  <c r="D85" i="5"/>
  <c r="C85" i="5"/>
  <c r="J80" i="5"/>
  <c r="I80" i="5"/>
  <c r="H80" i="5"/>
  <c r="G80" i="5"/>
  <c r="F80" i="5"/>
  <c r="E80" i="5"/>
  <c r="D80" i="5"/>
  <c r="C80" i="5"/>
  <c r="J76" i="5"/>
  <c r="I76" i="5"/>
  <c r="H76" i="5"/>
  <c r="G76" i="5"/>
  <c r="F76" i="5"/>
  <c r="E76" i="5"/>
  <c r="D76" i="5"/>
  <c r="C76" i="5"/>
  <c r="J47" i="5"/>
  <c r="I47" i="5"/>
  <c r="H47" i="5"/>
  <c r="G47" i="5"/>
  <c r="F47" i="5"/>
  <c r="E47" i="5"/>
  <c r="D47" i="5"/>
  <c r="C47" i="5"/>
  <c r="J39" i="5"/>
  <c r="I39" i="5"/>
  <c r="H39" i="5"/>
  <c r="G39" i="5"/>
  <c r="F39" i="5"/>
  <c r="E39" i="5"/>
  <c r="D39" i="5"/>
  <c r="C39" i="5"/>
  <c r="J34" i="5"/>
  <c r="I34" i="5"/>
  <c r="H34" i="5"/>
  <c r="G34" i="5"/>
  <c r="F34" i="5"/>
  <c r="E34" i="5"/>
  <c r="D34" i="5"/>
  <c r="C34" i="5"/>
  <c r="J27" i="5"/>
  <c r="I27" i="5"/>
  <c r="H27" i="5"/>
  <c r="G27" i="5"/>
  <c r="F27" i="5"/>
  <c r="E27" i="5"/>
  <c r="D27" i="5"/>
  <c r="C27" i="5"/>
  <c r="J17" i="5"/>
  <c r="I17" i="5"/>
  <c r="H17" i="5"/>
  <c r="G17" i="5"/>
  <c r="F17" i="5"/>
  <c r="E17" i="5"/>
  <c r="D17" i="5"/>
  <c r="C17" i="5"/>
  <c r="H110" i="4"/>
  <c r="G110" i="4"/>
  <c r="F110" i="4"/>
  <c r="E110" i="4"/>
  <c r="D110" i="4"/>
  <c r="C110" i="4"/>
  <c r="J100" i="4"/>
  <c r="I100" i="4"/>
  <c r="H100" i="4"/>
  <c r="G100" i="4"/>
  <c r="F100" i="4"/>
  <c r="E100" i="4"/>
  <c r="D100" i="4"/>
  <c r="C100" i="4"/>
  <c r="J92" i="4"/>
  <c r="I92" i="4"/>
  <c r="H92" i="4"/>
  <c r="G92" i="4"/>
  <c r="F92" i="4"/>
  <c r="E92" i="4"/>
  <c r="D92" i="4"/>
  <c r="C92" i="4"/>
  <c r="J86" i="4"/>
  <c r="I86" i="4"/>
  <c r="H86" i="4"/>
  <c r="G86" i="4"/>
  <c r="F86" i="4"/>
  <c r="E86" i="4"/>
  <c r="D86" i="4"/>
  <c r="C86" i="4"/>
  <c r="J80" i="4"/>
  <c r="I80" i="4"/>
  <c r="H80" i="4"/>
  <c r="G80" i="4"/>
  <c r="F80" i="4"/>
  <c r="E80" i="4"/>
  <c r="D80" i="4"/>
  <c r="C80" i="4"/>
  <c r="J52" i="4"/>
  <c r="I52" i="4"/>
  <c r="H52" i="4"/>
  <c r="G52" i="4"/>
  <c r="F52" i="4"/>
  <c r="E52" i="4"/>
  <c r="D52" i="4"/>
  <c r="C52" i="4"/>
  <c r="J44" i="4"/>
  <c r="I44" i="4"/>
  <c r="H44" i="4"/>
  <c r="G44" i="4"/>
  <c r="F44" i="4"/>
  <c r="E44" i="4"/>
  <c r="D44" i="4"/>
  <c r="C44" i="4"/>
  <c r="J37" i="4"/>
  <c r="I37" i="4"/>
  <c r="H37" i="4"/>
  <c r="G37" i="4"/>
  <c r="F37" i="4"/>
  <c r="E37" i="4"/>
  <c r="D37" i="4"/>
  <c r="C37" i="4"/>
  <c r="J28" i="4"/>
  <c r="I28" i="4"/>
  <c r="H28" i="4"/>
  <c r="G28" i="4"/>
  <c r="F28" i="4"/>
  <c r="E28" i="4"/>
  <c r="D28" i="4"/>
  <c r="C28" i="4"/>
  <c r="J18" i="4"/>
  <c r="I18" i="4"/>
  <c r="H18" i="4"/>
  <c r="G18" i="4"/>
  <c r="F18" i="4"/>
  <c r="E18" i="4"/>
  <c r="D18" i="4"/>
  <c r="C18" i="4"/>
  <c r="J111" i="3"/>
  <c r="I111" i="3"/>
  <c r="H111" i="3"/>
  <c r="G111" i="3"/>
  <c r="F111" i="3"/>
  <c r="E111" i="3"/>
  <c r="D111" i="3"/>
  <c r="C111" i="3"/>
  <c r="J101" i="3"/>
  <c r="I101" i="3"/>
  <c r="H101" i="3"/>
  <c r="G101" i="3"/>
  <c r="F101" i="3"/>
  <c r="E101" i="3"/>
  <c r="D101" i="3"/>
  <c r="C101" i="3"/>
  <c r="J93" i="3"/>
  <c r="I93" i="3"/>
  <c r="H93" i="3"/>
  <c r="G93" i="3"/>
  <c r="F93" i="3"/>
  <c r="E93" i="3"/>
  <c r="D93" i="3"/>
  <c r="C93" i="3"/>
  <c r="J87" i="3"/>
  <c r="I87" i="3"/>
  <c r="H87" i="3"/>
  <c r="G87" i="3"/>
  <c r="F87" i="3"/>
  <c r="E87" i="3"/>
  <c r="D87" i="3"/>
  <c r="C87" i="3"/>
  <c r="J81" i="3"/>
  <c r="I81" i="3"/>
  <c r="H81" i="3"/>
  <c r="G81" i="3"/>
  <c r="F81" i="3"/>
  <c r="E81" i="3"/>
  <c r="D81" i="3"/>
  <c r="C81" i="3"/>
  <c r="J53" i="3"/>
  <c r="I53" i="3"/>
  <c r="H53" i="3"/>
  <c r="G53" i="3"/>
  <c r="F53" i="3"/>
  <c r="E53" i="3"/>
  <c r="D53" i="3"/>
  <c r="C53" i="3"/>
  <c r="J45" i="3"/>
  <c r="I45" i="3"/>
  <c r="H45" i="3"/>
  <c r="G45" i="3"/>
  <c r="F45" i="3"/>
  <c r="E45" i="3"/>
  <c r="D45" i="3"/>
  <c r="C45" i="3"/>
  <c r="J38" i="3"/>
  <c r="I38" i="3"/>
  <c r="H38" i="3"/>
  <c r="G38" i="3"/>
  <c r="F38" i="3"/>
  <c r="E38" i="3"/>
  <c r="D38" i="3"/>
  <c r="C38" i="3"/>
  <c r="J29" i="3"/>
  <c r="I29" i="3"/>
  <c r="H29" i="3"/>
  <c r="G29" i="3"/>
  <c r="F29" i="3"/>
  <c r="E29" i="3"/>
  <c r="D29" i="3"/>
  <c r="C29" i="3"/>
  <c r="J19" i="3"/>
  <c r="I19" i="3"/>
  <c r="H19" i="3"/>
  <c r="G19" i="3"/>
  <c r="E19" i="3"/>
  <c r="D19" i="3"/>
  <c r="C19" i="3"/>
  <c r="J25" i="2"/>
  <c r="I25" i="2"/>
  <c r="H25" i="2"/>
  <c r="G25" i="2"/>
  <c r="F25" i="2"/>
  <c r="E25" i="2"/>
  <c r="D25" i="2"/>
  <c r="C23" i="2"/>
  <c r="C25" i="2" s="1"/>
  <c r="J17" i="2"/>
  <c r="I17" i="2"/>
  <c r="H17" i="2"/>
  <c r="G17" i="2"/>
  <c r="F17" i="2"/>
  <c r="E17" i="2"/>
  <c r="D17" i="2"/>
  <c r="C17" i="2"/>
  <c r="J14" i="2"/>
  <c r="I14" i="2"/>
  <c r="H14" i="2"/>
  <c r="G14" i="2"/>
  <c r="F14" i="2"/>
  <c r="E14" i="2"/>
  <c r="D14" i="2"/>
  <c r="C14" i="2"/>
  <c r="G111" i="4" l="1"/>
  <c r="G113" i="4" s="1"/>
  <c r="D111" i="4"/>
  <c r="D113" i="4" s="1"/>
  <c r="C111" i="4"/>
  <c r="C113" i="4" s="1"/>
  <c r="I111" i="4"/>
  <c r="J111" i="4"/>
  <c r="H111" i="4"/>
  <c r="H113" i="4" s="1"/>
  <c r="G105" i="8"/>
  <c r="G107" i="8" s="1"/>
  <c r="C105" i="8"/>
  <c r="C107" i="8" s="1"/>
  <c r="J105" i="8"/>
  <c r="J107" i="8" s="1"/>
  <c r="I105" i="8"/>
  <c r="I107" i="8" s="1"/>
  <c r="H105" i="8"/>
  <c r="H107" i="8" s="1"/>
  <c r="F105" i="8"/>
  <c r="F107" i="8" s="1"/>
  <c r="E105" i="8"/>
  <c r="E107" i="8" s="1"/>
  <c r="D105" i="8"/>
  <c r="D107" i="8" s="1"/>
  <c r="C106" i="7"/>
  <c r="C108" i="7" s="1"/>
  <c r="J106" i="7"/>
  <c r="J108" i="7" s="1"/>
  <c r="I106" i="7"/>
  <c r="I108" i="7" s="1"/>
  <c r="G106" i="7"/>
  <c r="G108" i="7" s="1"/>
  <c r="D106" i="7"/>
  <c r="D108" i="7" s="1"/>
  <c r="H106" i="7"/>
  <c r="H108" i="7" s="1"/>
  <c r="F106" i="7"/>
  <c r="F108" i="7" s="1"/>
  <c r="E106" i="7"/>
  <c r="E108" i="7" s="1"/>
  <c r="D30" i="6"/>
  <c r="C101" i="5"/>
  <c r="C103" i="5" s="1"/>
  <c r="G101" i="5"/>
  <c r="G103" i="5" s="1"/>
  <c r="D101" i="5"/>
  <c r="D103" i="5" s="1"/>
  <c r="H101" i="5"/>
  <c r="H103" i="5" s="1"/>
  <c r="E101" i="5"/>
  <c r="E103" i="5" s="1"/>
  <c r="I101" i="5"/>
  <c r="I103" i="5" s="1"/>
  <c r="F101" i="5"/>
  <c r="F103" i="5" s="1"/>
  <c r="J101" i="5"/>
  <c r="J103" i="5" s="1"/>
  <c r="E111" i="4"/>
  <c r="E113" i="4" s="1"/>
  <c r="F111" i="4"/>
  <c r="F113" i="4" s="1"/>
  <c r="J112" i="3"/>
  <c r="I112" i="3"/>
  <c r="I114" i="3" s="1"/>
  <c r="C112" i="3"/>
  <c r="C114" i="3" s="1"/>
  <c r="D112" i="3"/>
  <c r="D114" i="3" s="1"/>
  <c r="H112" i="3"/>
  <c r="H114" i="3" s="1"/>
  <c r="G112" i="3"/>
  <c r="G114" i="3" s="1"/>
  <c r="F112" i="3"/>
  <c r="F114" i="3" s="1"/>
  <c r="E112" i="3"/>
  <c r="E114" i="3" s="1"/>
  <c r="F30" i="6" l="1"/>
  <c r="H30" i="6"/>
  <c r="E30" i="6"/>
  <c r="C30" i="6"/>
  <c r="G30" i="6"/>
  <c r="J114" i="3"/>
</calcChain>
</file>

<file path=xl/sharedStrings.xml><?xml version="1.0" encoding="utf-8"?>
<sst xmlns="http://schemas.openxmlformats.org/spreadsheetml/2006/main" count="2338" uniqueCount="340">
  <si>
    <t>1 KULTŪRA METINĖ</t>
  </si>
  <si>
    <t>Duomenys ataskaitinių metų pabaigoje</t>
  </si>
  <si>
    <t>Jose:</t>
  </si>
  <si>
    <t>Bibliotekų, turinčių</t>
  </si>
  <si>
    <t xml:space="preserve">Eil. </t>
  </si>
  <si>
    <t>Biblio-</t>
  </si>
  <si>
    <t>Dokumentų</t>
  </si>
  <si>
    <t>Varto-</t>
  </si>
  <si>
    <t>Lanky-</t>
  </si>
  <si>
    <t>Profesio-</t>
  </si>
  <si>
    <t>kompiuterius, skaičius</t>
  </si>
  <si>
    <t>Nr.</t>
  </si>
  <si>
    <t>tekų</t>
  </si>
  <si>
    <t>fondas</t>
  </si>
  <si>
    <t xml:space="preserve">tojų </t>
  </si>
  <si>
    <t>išduotis</t>
  </si>
  <si>
    <t>tojų</t>
  </si>
  <si>
    <t>nalūs dar-</t>
  </si>
  <si>
    <t>iš jų: interne-</t>
  </si>
  <si>
    <t>skaičius</t>
  </si>
  <si>
    <t>(fiz. vnt.)</t>
  </si>
  <si>
    <t>buotojai</t>
  </si>
  <si>
    <t>Iš viso</t>
  </si>
  <si>
    <t>to prieigą</t>
  </si>
  <si>
    <t>KULTŪROS MINISTERIJA (eil. 2+3+4+5+7+8)</t>
  </si>
  <si>
    <t>5a</t>
  </si>
  <si>
    <t>5b</t>
  </si>
  <si>
    <t>5c</t>
  </si>
  <si>
    <t>5d</t>
  </si>
  <si>
    <t>9a</t>
  </si>
  <si>
    <t>9b</t>
  </si>
  <si>
    <t>11a</t>
  </si>
  <si>
    <t>11b</t>
  </si>
  <si>
    <t>12a</t>
  </si>
  <si>
    <t>13a</t>
  </si>
  <si>
    <t>13b</t>
  </si>
  <si>
    <t>Tęsinys kitame lape</t>
  </si>
  <si>
    <t>iš jų su inter-</t>
  </si>
  <si>
    <t>neto prieiga</t>
  </si>
  <si>
    <t>ŠVIETIMO IR MOKSLO MINISTERIJA (eil. 9+ 17+20+21)</t>
  </si>
  <si>
    <t>17a</t>
  </si>
  <si>
    <t>17b</t>
  </si>
  <si>
    <t>18a</t>
  </si>
  <si>
    <t>18b</t>
  </si>
  <si>
    <t>19a</t>
  </si>
  <si>
    <t>19b</t>
  </si>
  <si>
    <t>22a</t>
  </si>
  <si>
    <t>22b</t>
  </si>
  <si>
    <t>22c</t>
  </si>
  <si>
    <t>22d</t>
  </si>
  <si>
    <t xml:space="preserve">   Progimnazijų bibliotekos</t>
  </si>
  <si>
    <t>23a</t>
  </si>
  <si>
    <t>23b</t>
  </si>
  <si>
    <t>23d</t>
  </si>
  <si>
    <t xml:space="preserve">   Pradinių mokyklų bibliotekos</t>
  </si>
  <si>
    <t>24a</t>
  </si>
  <si>
    <t>24b</t>
  </si>
  <si>
    <t>24e</t>
  </si>
  <si>
    <t>25a</t>
  </si>
  <si>
    <t xml:space="preserve">  Vidurinių mokyklų bibliotekos</t>
  </si>
  <si>
    <t>25b</t>
  </si>
  <si>
    <t>Generalinis direktorius</t>
  </si>
  <si>
    <t>Vytautas Gudaitis</t>
  </si>
  <si>
    <t>LIETUVOS NACIONALINĖ, LIETUVOS AKLŲJŲ,</t>
  </si>
  <si>
    <t>APSKRIČIŲ VIEŠOSIOS BIBLIOTEKOS</t>
  </si>
  <si>
    <t>PAGRINDINIAI RODIKLIAI</t>
  </si>
  <si>
    <t>Bibliotekų skaičius</t>
  </si>
  <si>
    <t>Dokumentų fondas iš viso (fiz.vnt.)</t>
  </si>
  <si>
    <t>Vartotojų skaičius</t>
  </si>
  <si>
    <t>Dokumentų išduotis (fiz.vnt.)</t>
  </si>
  <si>
    <t>Lankytojų (apsilankymų) skaičius</t>
  </si>
  <si>
    <t>Prof. Bibliotekininkų skaičius</t>
  </si>
  <si>
    <t>Bibliotekų, turinčių kompiuterius skaičius</t>
  </si>
  <si>
    <t>iš viso</t>
  </si>
  <si>
    <t>su interneto prieiga</t>
  </si>
  <si>
    <t>Lietuvos nacionalinė</t>
  </si>
  <si>
    <t>Skirtumas (+, -)</t>
  </si>
  <si>
    <t>Kauno apskrities viešoji</t>
  </si>
  <si>
    <t>Klaipėdos apskrities viešoji</t>
  </si>
  <si>
    <t>Panevėžio apskrities viešoji</t>
  </si>
  <si>
    <t>Šiaulių apskrities viešoji</t>
  </si>
  <si>
    <t>Vilniaus apskrities viešoji</t>
  </si>
  <si>
    <t>Iš viso (AVB)</t>
  </si>
  <si>
    <t>SAVIVALDYBIŲ VIEŠOSIOS BIBLIOTEKOS</t>
  </si>
  <si>
    <t>Apskritys, savivaldybės</t>
  </si>
  <si>
    <t>Bibliotekų filialų skaičius</t>
  </si>
  <si>
    <t>su internetu</t>
  </si>
  <si>
    <t>Alytaus apskr.</t>
  </si>
  <si>
    <t>Alytaus m.</t>
  </si>
  <si>
    <t>Druskininkų sav.</t>
  </si>
  <si>
    <t>Kauno apskr.</t>
  </si>
  <si>
    <t>Birštono sav.</t>
  </si>
  <si>
    <t>Kauno m.</t>
  </si>
  <si>
    <t>Klaipėdos apskr.</t>
  </si>
  <si>
    <t>Klaipėdos m.</t>
  </si>
  <si>
    <t>Neringos sav.</t>
  </si>
  <si>
    <t>Palangos m. sav.</t>
  </si>
  <si>
    <t>Marijampolės apskr.</t>
  </si>
  <si>
    <t>Kalvarijos sav.</t>
  </si>
  <si>
    <t>Kazlų Rūdos sav.</t>
  </si>
  <si>
    <t>Marijampolės sav.</t>
  </si>
  <si>
    <t>Panevėžio apskr.</t>
  </si>
  <si>
    <t>Panevėžio m.</t>
  </si>
  <si>
    <t>Šiaulių apskr.</t>
  </si>
  <si>
    <t>Šiaulių m.</t>
  </si>
  <si>
    <t>Tauragės apskr.</t>
  </si>
  <si>
    <t>Pagėgių sav.</t>
  </si>
  <si>
    <t>Telšių apskr.</t>
  </si>
  <si>
    <t>Rietavo sav.</t>
  </si>
  <si>
    <t>Utenos apskr.</t>
  </si>
  <si>
    <t>Visagino sav.</t>
  </si>
  <si>
    <t>Vilniaus apskr.</t>
  </si>
  <si>
    <t>Elektrėnų sav.</t>
  </si>
  <si>
    <t>Vilniaus m.</t>
  </si>
  <si>
    <t>Vilniaus raj.</t>
  </si>
  <si>
    <t>Iš viso šalyje</t>
  </si>
  <si>
    <t>Skirtumas (+, - )</t>
  </si>
  <si>
    <t>VIEŠOSIOS BIBLIOTEKOS</t>
  </si>
  <si>
    <t>SVB MIESTO FILIALAI</t>
  </si>
  <si>
    <t>SVB VAIKŲ FILIALAI</t>
  </si>
  <si>
    <t xml:space="preserve"> PAGRINDINIAI RODIKLIAI</t>
  </si>
  <si>
    <t>SVB KAIMO FILIALAI</t>
  </si>
  <si>
    <t xml:space="preserve"> (Veikia kartu su mokyklų bibliotekomis)</t>
  </si>
  <si>
    <t>Skirtumas (+,-)</t>
  </si>
  <si>
    <t>MUZIEJŲ,</t>
  </si>
  <si>
    <t>KITŲ KULTŪROS ĮSTAIGŲ BIBLIOTEKOS</t>
  </si>
  <si>
    <t>Dokumentų fondas ių viso (fiz.vnt.)</t>
  </si>
  <si>
    <t>Kultūros įstaigų (centrų, archyvų) bibliotekos</t>
  </si>
  <si>
    <t xml:space="preserve">Muziejų </t>
  </si>
  <si>
    <t>LIETUVOS MOKSLŲ AKADEMIJOS VRUBLEVSKIŲ BIBLIOTEKA</t>
  </si>
  <si>
    <t>LIETUVOS MOKSLO INSTITUTŲ BIBLIOTEKOS</t>
  </si>
  <si>
    <t>Skirtumas</t>
  </si>
  <si>
    <t>Lietuvos mokslo institutų</t>
  </si>
  <si>
    <t>SPECIALIOSIOS BIBLIOTEKOS</t>
  </si>
  <si>
    <t>Krašto apsaugos ministerijai pavaldžios bibliotekos</t>
  </si>
  <si>
    <t>Valdymo institucijų</t>
  </si>
  <si>
    <t>Techninės bibliotekos</t>
  </si>
  <si>
    <t>Lietuvos medicinos biblioteka</t>
  </si>
  <si>
    <t>Sveikatos priežiūros įstaigų</t>
  </si>
  <si>
    <t xml:space="preserve">Iš viso </t>
  </si>
  <si>
    <t>Žemės ūkio bibliotekos</t>
  </si>
  <si>
    <t>AUKŠTŲJŲ MOKYKLŲ BIBLIOTEKOS</t>
  </si>
  <si>
    <t>(Valstybinių, nevalstybinių aukštųjų - universitetinių, kolegijų bibliotekos)</t>
  </si>
  <si>
    <t>Dokumentų fondas (fiz.vnt.)</t>
  </si>
  <si>
    <t>Kompiuterių skaičius vartotojams</t>
  </si>
  <si>
    <t>VALSTYBINIŲ UNIVERSITETŲ  BIBLIOTEKOS</t>
  </si>
  <si>
    <t>VALSTYBINIŲ KOLEGIJŲ  BIBLIOTEKOS</t>
  </si>
  <si>
    <t xml:space="preserve">  NEVALSTYBINIŲ AUKŠTŲJŲ (UNIVERSITETINIŲ, KOLEGIJŲ) MOKYKLŲ BIBLIOTEKOS</t>
  </si>
  <si>
    <t>Iš viso (aukštųjų, kolegijų)</t>
  </si>
  <si>
    <t>NEVALSTYBINIŲ KOLEGIJŲ  BIBLIOTEKOS</t>
  </si>
  <si>
    <t>PROFESINIŲ MOKYKLŲ BIBLIOTEKOS</t>
  </si>
  <si>
    <t>Alytaus apskritis</t>
  </si>
  <si>
    <t>Kauno apskritis</t>
  </si>
  <si>
    <t>Klaipėdos apskritis</t>
  </si>
  <si>
    <t>Panevėžio apskritis</t>
  </si>
  <si>
    <t>Šiaulių apskritis</t>
  </si>
  <si>
    <t>Tauragės apskritis</t>
  </si>
  <si>
    <t>Telšių apskritis</t>
  </si>
  <si>
    <t>Utenos apskritis</t>
  </si>
  <si>
    <t>Vilniaus apskritis</t>
  </si>
  <si>
    <t>ŠVIETIMO ĮSTAIGŲ BIBLIOTEKOS</t>
  </si>
  <si>
    <t xml:space="preserve">(savivaldybių, valstybinių bendrojo ugdymo mokyklų, neformaliojo vaikų švietimo </t>
  </si>
  <si>
    <t>(muzikos, meno) įstaigų, vaikų globos namų, pedagogų švietimo centrų bibliotekos)</t>
  </si>
  <si>
    <t>BENDROJO UGDYMO MOKYKLŲ BIBLIOTEKOS</t>
  </si>
  <si>
    <t>(SAVIVALDYBIŲ, VALSTYBINIŲ, NEVALSTYBINIŲ)</t>
  </si>
  <si>
    <t>SAVIVALDYBIŲ BENDROJO LAVINIMO MOKYKLŲ BIBLIOTEKOS</t>
  </si>
  <si>
    <t>SAVIVALDYBIŲ GIMNAZIJŲ BIBLIOTEKOS</t>
  </si>
  <si>
    <t>SAVIVALDYBIŲ PROGIMNAZIJŲ BIBLIOTEKOS</t>
  </si>
  <si>
    <t>SAVIVALDYBIŲ PAGRINDINIŲ MOKYKLŲ BIBLIOTEKOS</t>
  </si>
  <si>
    <t>SAVIVALDYBIŲ PRADINIŲ MOKYKLŲ BIBLIOTEKOS</t>
  </si>
  <si>
    <t xml:space="preserve">VALSTYBINIŲ BENDROJO LAVINIMO </t>
  </si>
  <si>
    <t>MOKYKLŲ BIBLIOTEKOS</t>
  </si>
  <si>
    <t>VALSTYBINIŲ GIMNAZIJŲ BIBLIOTEKOS</t>
  </si>
  <si>
    <t>VALSTYBINIŲ PAGRINDINIŲ MOKYKLŲ BIBLIOTEKOS</t>
  </si>
  <si>
    <t>NEVALSTYBINIŲ GIMNAZIJŲ BIBLIOTEKOS</t>
  </si>
  <si>
    <t xml:space="preserve">NEFORMALIOJO VAIKŲ ŠVIETIMO (MUZIKOS, DAILĖS, MENO) </t>
  </si>
  <si>
    <t>PEDAGOGŲ ŠVIETIMO CENTRŲ BIBLIOTEKOS</t>
  </si>
  <si>
    <t>VAIKŲ GLOBOS NAMŲ BIBLIOTEKOS</t>
  </si>
  <si>
    <t>Marijampolės apskritis</t>
  </si>
  <si>
    <t>Alytaus r.</t>
  </si>
  <si>
    <t>Lazdijų r.</t>
  </si>
  <si>
    <t>Varėnos r.</t>
  </si>
  <si>
    <t>Jonavos r.</t>
  </si>
  <si>
    <t>Kaišiadorių r.</t>
  </si>
  <si>
    <t>Kauno r.</t>
  </si>
  <si>
    <t>Kėdainių r.</t>
  </si>
  <si>
    <t>Prienų r.</t>
  </si>
  <si>
    <t>Raseinių r.</t>
  </si>
  <si>
    <t>Klaipėdos r.</t>
  </si>
  <si>
    <t>Kretingos r.</t>
  </si>
  <si>
    <t>Skuodo r.</t>
  </si>
  <si>
    <t>Šilutės r.</t>
  </si>
  <si>
    <t>Šakių r.</t>
  </si>
  <si>
    <t>Vilkaviškio r.</t>
  </si>
  <si>
    <t>Biržų r.</t>
  </si>
  <si>
    <t>Kupiškio r.</t>
  </si>
  <si>
    <t>Panevėžio r.</t>
  </si>
  <si>
    <t>Pasvalio r.</t>
  </si>
  <si>
    <t>Rokiškio r.</t>
  </si>
  <si>
    <t>Akmenės r.</t>
  </si>
  <si>
    <t>Joniškio r.</t>
  </si>
  <si>
    <t>Kelmės r.</t>
  </si>
  <si>
    <t>Pakruojo r.</t>
  </si>
  <si>
    <t>Radviliškio r.</t>
  </si>
  <si>
    <t>Šiaulių r.</t>
  </si>
  <si>
    <t>Jurbarko r.</t>
  </si>
  <si>
    <t>Šilalės r.</t>
  </si>
  <si>
    <t>Tauragės r.</t>
  </si>
  <si>
    <t>Mažeikių r.</t>
  </si>
  <si>
    <t>Plungės r.</t>
  </si>
  <si>
    <t>Telšių r.</t>
  </si>
  <si>
    <t>Anykščių r.</t>
  </si>
  <si>
    <t>Ignalinos r.</t>
  </si>
  <si>
    <t>Molėtų r.</t>
  </si>
  <si>
    <t>Utenos r.</t>
  </si>
  <si>
    <t>Zarasų r.</t>
  </si>
  <si>
    <t>Šalčininkų r.</t>
  </si>
  <si>
    <t>Širvintų r.</t>
  </si>
  <si>
    <t>Švenčionių r.</t>
  </si>
  <si>
    <t>Trakų r.</t>
  </si>
  <si>
    <t>Ukmergės r.</t>
  </si>
  <si>
    <t>Vilniaus r.</t>
  </si>
  <si>
    <t>Profesionalių bibliotekininkų skaičius</t>
  </si>
  <si>
    <t>Bibliotekų, turinčių kompiuterius, skaičius</t>
  </si>
  <si>
    <t>Profrofesionalių bibliotekininkų skaičius</t>
  </si>
  <si>
    <t>23c</t>
  </si>
  <si>
    <t>Profesionalių bibliotekininkų skaičiuss</t>
  </si>
  <si>
    <t>Bibliotekų, turinčių kompiuteriu,s skaičius</t>
  </si>
  <si>
    <t>SVB KAIMO IR MIESTO FILIALAI</t>
  </si>
  <si>
    <t>Valstybinės kolegijos</t>
  </si>
  <si>
    <t>Alytaus kolegija</t>
  </si>
  <si>
    <t xml:space="preserve">Kauno kolegija </t>
  </si>
  <si>
    <t xml:space="preserve">Kauno technikos kolegija </t>
  </si>
  <si>
    <t>Kauno miškų ir aplinkos inžinerijos kolegija</t>
  </si>
  <si>
    <t>Marijampolės kolegija</t>
  </si>
  <si>
    <t>Panevėžio kolegija</t>
  </si>
  <si>
    <t>Utenos kolegija</t>
  </si>
  <si>
    <t>Vilniaus kolegija</t>
  </si>
  <si>
    <t xml:space="preserve">Vilniaus technologijų ir dizaino kolegija </t>
  </si>
  <si>
    <t>Lietuvos aukštoji jūreivystės mokykla</t>
  </si>
  <si>
    <t>Kazimiero Simonavičiaus universitetas</t>
  </si>
  <si>
    <t>ISM Vadybos ir ekonomikos universitetas</t>
  </si>
  <si>
    <t>VšĮ Kolpingo kolegija</t>
  </si>
  <si>
    <t>VšĮ Lietuvos verslo kolegija</t>
  </si>
  <si>
    <t>VšĮ Socialinių mokslų kolegija</t>
  </si>
  <si>
    <t>VŠĮ Vilniaus verslo kolegija</t>
  </si>
  <si>
    <t>Vilniaus dizaino kolegija</t>
  </si>
  <si>
    <t>Šv. Ignaco Lojolos kolegija</t>
  </si>
  <si>
    <t>Tarptautinė teisės ir verslo aukštoji mokykla</t>
  </si>
  <si>
    <t xml:space="preserve">Vilniaus šv. Juozapo kunigų seminarija </t>
  </si>
  <si>
    <t>VŠĮ LCC Tarptautinio universitetas</t>
  </si>
  <si>
    <t>Universitetai</t>
  </si>
  <si>
    <t>Kolegijos</t>
  </si>
  <si>
    <t>Kauno technologijos universitetas</t>
  </si>
  <si>
    <t>Lietuvos sporto universitetas</t>
  </si>
  <si>
    <t>Lietuvos sveikatos mokslų universitetas</t>
  </si>
  <si>
    <t>Vytauto Didžiojo universitetas</t>
  </si>
  <si>
    <t>Klaipėdos universitetas</t>
  </si>
  <si>
    <t>Lietuvos muzikos ir teatro akademija</t>
  </si>
  <si>
    <t>Mykolo Romerio universitetas</t>
  </si>
  <si>
    <t>Vilniaus dailės akademija</t>
  </si>
  <si>
    <t>Vilniaus Gedimino technikos universitetas</t>
  </si>
  <si>
    <t>Vilniaus universitetas</t>
  </si>
  <si>
    <t>Universitetai (valst.+nevalst.)</t>
  </si>
  <si>
    <t>Kolegijos (valst.+nevalst.)</t>
  </si>
  <si>
    <t>Valstybiniai universitetai</t>
  </si>
  <si>
    <t>Nevalstybinės aukštosios</t>
  </si>
  <si>
    <t>Nevalstybinės kolegijos</t>
  </si>
  <si>
    <t xml:space="preserve">  VALSTYBINIŲ AUKŠTŲJŲ (UNIVERSITETINIŲ, KOLEGIJŲ) MOKYKLŲ BIBLIOTEKOS</t>
  </si>
  <si>
    <t>Iš jų: su interneto prieiga</t>
  </si>
  <si>
    <t xml:space="preserve">Šiaulių valstybinė kolegija </t>
  </si>
  <si>
    <t xml:space="preserve">Klaipėdos valstybinė kolegija </t>
  </si>
  <si>
    <t xml:space="preserve">
Generolo Jono Žemaičio Lietuvos karo akademija</t>
  </si>
  <si>
    <t>Telšių vyskupo Vincento Borisevičiaus kunigų seminarija</t>
  </si>
  <si>
    <t>Techninių bibliotekų tinklas (iš viso)</t>
  </si>
  <si>
    <t>Lietuvos mokslų akademijos Vrublevskių biblioteka</t>
  </si>
  <si>
    <t>Iš viso (LMAVB+LMIB)</t>
  </si>
  <si>
    <t>NEVALSTYBINIŲ AUKŠTŲJŲ (UNIVERSITETINIŲ) MOKYKLŲ  BIBLIOTEKOS</t>
  </si>
  <si>
    <t>ŠVIETIMO PAGALBOS TARNYBŲ BIBLIOTEKOS</t>
  </si>
  <si>
    <t>NEVALSTYBINIŲ BENDROJO UGDYMO MOKYKLŲ BIBLIOTEKOS</t>
  </si>
  <si>
    <t>2021 m.</t>
  </si>
  <si>
    <r>
      <t>0</t>
    </r>
    <r>
      <rPr>
        <sz val="8"/>
        <color rgb="FFFF0000"/>
        <rFont val="Times New Roman"/>
        <family val="1"/>
        <charset val="186"/>
      </rPr>
      <t>*</t>
    </r>
  </si>
  <si>
    <t>BENDROJI 2022 METŲ BIBLIOTEKŲ ATASKAITA</t>
  </si>
  <si>
    <t>2022 METAI</t>
  </si>
  <si>
    <t>Iš viso šalyje 2022 m. (eil. 15+16)</t>
  </si>
  <si>
    <t>2022 m.</t>
  </si>
  <si>
    <t>Iš viso 2022 m.</t>
  </si>
  <si>
    <t>2022 metai</t>
  </si>
  <si>
    <t xml:space="preserve">2021 m. </t>
  </si>
  <si>
    <t xml:space="preserve">   2022 METAI</t>
  </si>
  <si>
    <t>Lietuvos audiosensorinė (aklųjų)</t>
  </si>
  <si>
    <t>Lietuvos nacionalinė biblioteka</t>
  </si>
  <si>
    <t>Lietuvos audiosensorinė (aklųjų) biblioteka</t>
  </si>
  <si>
    <t>Apskričių viešosios bibliotekos</t>
  </si>
  <si>
    <t>Savivaldybių viešosios bibliotekos (eil.5a+5b+5c+5d)</t>
  </si>
  <si>
    <t xml:space="preserve">  Viešosios (centrinės) bibliotekos (VB)</t>
  </si>
  <si>
    <t xml:space="preserve">  VB miesto filialai</t>
  </si>
  <si>
    <t xml:space="preserve">  VB vaikų filialai</t>
  </si>
  <si>
    <t xml:space="preserve">  VB kaimo filialai</t>
  </si>
  <si>
    <t xml:space="preserve">  iš jų VB filialai sujungti su m-lų b-komis</t>
  </si>
  <si>
    <t>Muziejų bibliotekos</t>
  </si>
  <si>
    <t>Kitų kultūros įstaigų bibliotekos</t>
  </si>
  <si>
    <t>Mokslo įstaigų bibliotekos (eil.9a+9b)</t>
  </si>
  <si>
    <t>Mokslo institutų bibliotekos</t>
  </si>
  <si>
    <t>Specialiosios bibliotekos (eil.11+12+13+14)</t>
  </si>
  <si>
    <t>Valdžios institucijų bibliotekos. Iš jų:</t>
  </si>
  <si>
    <t>Valdymo institucijų bibliotekos</t>
  </si>
  <si>
    <t>techninės bibliotekos</t>
  </si>
  <si>
    <t>Medicinos bibliotekų tinklas (iš viso). Iš jų:</t>
  </si>
  <si>
    <t>Sveikatos priežiūros įstaigų bibliotekos</t>
  </si>
  <si>
    <t>Žemės ūkio bibliotekų tinklas (iš viso)</t>
  </si>
  <si>
    <t>Iš viso 2022 m.  (eil. 1+10)</t>
  </si>
  <si>
    <t>Aukštųjų mokyklų bibliotekos (eil.18+19)</t>
  </si>
  <si>
    <t>universitetų bibliotekos (eil.18a+19a)</t>
  </si>
  <si>
    <t>kolegijų bibliotekos (eil.18b+19b)</t>
  </si>
  <si>
    <t>Valstybinių aukštųjų mokyklų bibliotekos. Iš jų:</t>
  </si>
  <si>
    <t>universitetų bibliotekos</t>
  </si>
  <si>
    <t>kolegijų bibliotekos</t>
  </si>
  <si>
    <t>Nevalstybinių aukštųjų mokyklų bibliotekos. Iš jų:</t>
  </si>
  <si>
    <t>aukštųjų mokyklų bibliotekos</t>
  </si>
  <si>
    <t>Profesinių mokyklų bibliotekos</t>
  </si>
  <si>
    <t>Švietimo įstaigų bibliotekos (eil.22+26+27+28+29)</t>
  </si>
  <si>
    <t>Bendrojo lavinimo mokyklų bibliotekos (iš viso)   (eil.22a+22b+22c+22d)</t>
  </si>
  <si>
    <t xml:space="preserve">Progimnazijų bibliotekos (eil. 23a+24a)  </t>
  </si>
  <si>
    <t xml:space="preserve">Gimnazijų bibliotekos (eil. 23b+24a+25a) </t>
  </si>
  <si>
    <t xml:space="preserve">Pagrindinių mokyklų bibliotekos (eil. 23c+24b) </t>
  </si>
  <si>
    <t>Pradinių mokyklų bibliotekos (eil. 23d)</t>
  </si>
  <si>
    <t>Savivaldybių bendrojo lavinimo mokyklų bibliotekos (iš viso) (eil.23a+23b+23c+23d)</t>
  </si>
  <si>
    <t>Progimnazijų bibliotekos</t>
  </si>
  <si>
    <t>Gimnazijų bibliotekos</t>
  </si>
  <si>
    <t xml:space="preserve">Pagrindinių mokyklų bibliotekos </t>
  </si>
  <si>
    <t>Pradinių mokyklų bibliotekos</t>
  </si>
  <si>
    <t>Valstybinių bendrojo lavinimo mokyklų bibliotekos (iš viso) (eil.24a+24b+24c)</t>
  </si>
  <si>
    <t xml:space="preserve">Gimnazijų bibliotekos </t>
  </si>
  <si>
    <t>Pagrindinių mokyklų bibliotekos</t>
  </si>
  <si>
    <t>Nevalstybinių bendrojo ugdymo mokyklų bibliotekos (iš viso) (eil.25a)</t>
  </si>
  <si>
    <t>Neformaliojo vaikų švietimo (muzikos, dailės, menos) mokyklų              bibliotekos</t>
  </si>
  <si>
    <t>Pedagogų švietimo centrų bibliotekos</t>
  </si>
  <si>
    <t>Švietimo pagalbos tarnybų bibliotekos</t>
  </si>
  <si>
    <t>Vaikų globos namų bibliotekos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</si>
</sst>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&quot;Lt&quot;_-;\-* #,##0.00\ &quot;Lt&quot;_-;_-* &quot;-&quot;??\ &quot;Lt&quot;_-;_-@_-"/>
    <numFmt numFmtId="165" formatCode="0.0"/>
    <numFmt numFmtId="166" formatCode="0;[Red]0"/>
  </numFmts>
  <fonts count="42" x14ac:knownFonts="1"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2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86"/>
    </font>
    <font>
      <b/>
      <sz val="8"/>
      <name val="Times New Roman"/>
      <family val="1"/>
      <charset val="186"/>
    </font>
    <font>
      <sz val="8"/>
      <name val="Arial"/>
      <family val="2"/>
      <charset val="186"/>
    </font>
    <font>
      <sz val="10"/>
      <name val="Arial"/>
      <family val="2"/>
      <charset val="186"/>
    </font>
    <font>
      <sz val="10"/>
      <name val="Times New Roman"/>
      <family val="1"/>
      <charset val="186"/>
    </font>
    <font>
      <sz val="10"/>
      <name val="Times New Roman"/>
      <family val="1"/>
    </font>
    <font>
      <sz val="8"/>
      <color theme="9" tint="-0.249977111117893"/>
      <name val="Times New Roman"/>
      <family val="1"/>
    </font>
    <font>
      <sz val="8"/>
      <color theme="9" tint="-0.249977111117893"/>
      <name val="Times New Roman"/>
      <family val="1"/>
      <charset val="186"/>
    </font>
    <font>
      <sz val="12"/>
      <name val="Times New Roman"/>
      <family val="1"/>
      <charset val="186"/>
    </font>
    <font>
      <b/>
      <sz val="12"/>
      <name val="Verdana"/>
      <family val="2"/>
      <charset val="186"/>
    </font>
    <font>
      <b/>
      <sz val="12"/>
      <name val="Times New Roman"/>
      <family val="1"/>
      <charset val="186"/>
    </font>
    <font>
      <sz val="12"/>
      <name val="Verdana"/>
      <family val="2"/>
      <charset val="186"/>
    </font>
    <font>
      <sz val="9"/>
      <name val="Times New Roman"/>
      <family val="1"/>
    </font>
    <font>
      <b/>
      <sz val="14"/>
      <name val="Verdana"/>
      <family val="2"/>
      <charset val="186"/>
    </font>
    <font>
      <sz val="10"/>
      <name val="Verdana"/>
      <family val="2"/>
      <charset val="186"/>
    </font>
    <font>
      <sz val="10"/>
      <name val="Arial"/>
      <family val="2"/>
      <charset val="186"/>
    </font>
    <font>
      <b/>
      <sz val="14"/>
      <name val="Times New Roman"/>
      <family val="1"/>
      <charset val="186"/>
    </font>
    <font>
      <sz val="11"/>
      <name val="Verdana"/>
      <family val="2"/>
      <charset val="186"/>
    </font>
    <font>
      <sz val="12"/>
      <name val="Arial"/>
      <family val="2"/>
      <charset val="186"/>
    </font>
    <font>
      <sz val="9"/>
      <name val="Times New Roman"/>
      <family val="1"/>
      <charset val="186"/>
    </font>
    <font>
      <sz val="9"/>
      <name val="Arial"/>
      <family val="2"/>
      <charset val="186"/>
    </font>
    <font>
      <b/>
      <sz val="9"/>
      <name val="Times New Roman"/>
      <family val="1"/>
      <charset val="186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  <charset val="186"/>
    </font>
    <font>
      <sz val="11"/>
      <name val="Times New Roman"/>
      <family val="1"/>
    </font>
    <font>
      <sz val="9"/>
      <color theme="1"/>
      <name val="Times New Roman"/>
      <family val="1"/>
      <charset val="186"/>
    </font>
    <font>
      <sz val="11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sz val="12"/>
      <color theme="1"/>
      <name val="Verdana"/>
      <family val="2"/>
      <charset val="186"/>
    </font>
    <font>
      <b/>
      <sz val="8"/>
      <color rgb="FFFF0000"/>
      <name val="Times New Roman"/>
      <family val="1"/>
      <charset val="186"/>
    </font>
    <font>
      <sz val="8"/>
      <name val="Times New Roman"/>
      <family val="1"/>
      <charset val="186"/>
    </font>
    <font>
      <sz val="10"/>
      <name val="Calibri"/>
      <family val="2"/>
      <charset val="186"/>
    </font>
    <font>
      <sz val="8"/>
      <color rgb="FFFF0000"/>
      <name val="Times New Roman"/>
      <family val="1"/>
      <charset val="186"/>
    </font>
    <font>
      <b/>
      <sz val="8"/>
      <color theme="1"/>
      <name val="Times New Roman"/>
      <family val="1"/>
      <charset val="186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indexed="64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9" fillId="0" borderId="0"/>
    <xf numFmtId="0" fontId="21" fillId="0" borderId="0"/>
    <xf numFmtId="0" fontId="1" fillId="0" borderId="0"/>
    <xf numFmtId="0" fontId="1" fillId="0" borderId="0"/>
  </cellStyleXfs>
  <cellXfs count="1023">
    <xf numFmtId="0" fontId="0" fillId="0" borderId="0" xfId="0"/>
    <xf numFmtId="0" fontId="3" fillId="0" borderId="0" xfId="1" applyFont="1" applyFill="1" applyBorder="1" applyAlignment="1">
      <alignment horizontal="left"/>
    </xf>
    <xf numFmtId="0" fontId="3" fillId="0" borderId="0" xfId="1" applyFont="1" applyFill="1"/>
    <xf numFmtId="0" fontId="4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righ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left"/>
    </xf>
    <xf numFmtId="0" fontId="5" fillId="0" borderId="0" xfId="1" applyFont="1" applyFill="1"/>
    <xf numFmtId="0" fontId="2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0" fontId="4" fillId="0" borderId="0" xfId="1" applyFont="1" applyFill="1"/>
    <xf numFmtId="0" fontId="3" fillId="0" borderId="1" xfId="1" applyFont="1" applyFill="1" applyBorder="1" applyAlignment="1">
      <alignment horizontal="centerContinuous"/>
    </xf>
    <xf numFmtId="0" fontId="3" fillId="0" borderId="2" xfId="1" applyFont="1" applyFill="1" applyBorder="1" applyAlignment="1">
      <alignment horizontal="centerContinuous"/>
    </xf>
    <xf numFmtId="0" fontId="5" fillId="0" borderId="3" xfId="1" applyFont="1" applyFill="1" applyBorder="1" applyAlignment="1">
      <alignment horizontal="centerContinuous"/>
    </xf>
    <xf numFmtId="0" fontId="3" fillId="0" borderId="8" xfId="1" applyFont="1" applyFill="1" applyBorder="1" applyAlignment="1">
      <alignment horizontal="centerContinuous"/>
    </xf>
    <xf numFmtId="0" fontId="3" fillId="0" borderId="0" xfId="1" applyFont="1" applyFill="1" applyBorder="1" applyAlignment="1">
      <alignment horizontal="centerContinuous"/>
    </xf>
    <xf numFmtId="0" fontId="5" fillId="0" borderId="9" xfId="1" applyFont="1" applyFill="1" applyBorder="1" applyAlignment="1">
      <alignment horizontal="centerContinuous"/>
    </xf>
    <xf numFmtId="0" fontId="5" fillId="0" borderId="9" xfId="1" applyFont="1" applyFill="1" applyBorder="1" applyAlignment="1">
      <alignment horizontal="center"/>
    </xf>
    <xf numFmtId="0" fontId="5" fillId="0" borderId="10" xfId="1" applyFont="1" applyFill="1" applyBorder="1" applyAlignment="1">
      <alignment horizontal="center"/>
    </xf>
    <xf numFmtId="0" fontId="5" fillId="0" borderId="11" xfId="1" applyFont="1" applyFill="1" applyBorder="1" applyAlignment="1">
      <alignment horizontal="center"/>
    </xf>
    <xf numFmtId="0" fontId="5" fillId="0" borderId="8" xfId="1" applyFont="1" applyFill="1" applyBorder="1"/>
    <xf numFmtId="0" fontId="5" fillId="0" borderId="0" xfId="1" applyFont="1" applyFill="1" applyBorder="1"/>
    <xf numFmtId="0" fontId="5" fillId="0" borderId="14" xfId="1" applyFont="1" applyFill="1" applyBorder="1" applyAlignment="1">
      <alignment horizontal="center"/>
    </xf>
    <xf numFmtId="0" fontId="5" fillId="0" borderId="15" xfId="1" applyFont="1" applyFill="1" applyBorder="1" applyAlignment="1">
      <alignment horizontal="center"/>
    </xf>
    <xf numFmtId="0" fontId="5" fillId="0" borderId="9" xfId="1" applyFont="1" applyFill="1" applyBorder="1"/>
    <xf numFmtId="0" fontId="5" fillId="0" borderId="16" xfId="1" applyFont="1" applyFill="1" applyBorder="1" applyAlignment="1">
      <alignment horizontal="center"/>
    </xf>
    <xf numFmtId="0" fontId="5" fillId="0" borderId="20" xfId="1" applyFont="1" applyFill="1" applyBorder="1" applyAlignment="1">
      <alignment horizontal="center"/>
    </xf>
    <xf numFmtId="0" fontId="5" fillId="0" borderId="21" xfId="1" applyFont="1" applyFill="1" applyBorder="1" applyAlignment="1">
      <alignment horizontal="center"/>
    </xf>
    <xf numFmtId="0" fontId="5" fillId="0" borderId="22" xfId="1" applyFont="1" applyFill="1" applyBorder="1" applyAlignment="1">
      <alignment horizontal="center"/>
    </xf>
    <xf numFmtId="0" fontId="5" fillId="0" borderId="26" xfId="1" applyNumberFormat="1" applyFont="1" applyFill="1" applyBorder="1" applyAlignment="1">
      <alignment horizontal="right" vertical="center"/>
    </xf>
    <xf numFmtId="0" fontId="5" fillId="0" borderId="31" xfId="1" applyNumberFormat="1" applyFont="1" applyFill="1" applyBorder="1" applyAlignment="1">
      <alignment horizontal="right" vertical="center"/>
    </xf>
    <xf numFmtId="0" fontId="5" fillId="0" borderId="32" xfId="1" applyNumberFormat="1" applyFont="1" applyFill="1" applyBorder="1" applyAlignment="1">
      <alignment horizontal="right" vertical="center"/>
    </xf>
    <xf numFmtId="0" fontId="3" fillId="0" borderId="31" xfId="1" applyNumberFormat="1" applyFont="1" applyFill="1" applyBorder="1" applyAlignment="1">
      <alignment horizontal="right" vertical="center"/>
    </xf>
    <xf numFmtId="0" fontId="3" fillId="0" borderId="32" xfId="1" applyNumberFormat="1" applyFont="1" applyFill="1" applyBorder="1" applyAlignment="1">
      <alignment horizontal="right" vertical="center"/>
    </xf>
    <xf numFmtId="0" fontId="5" fillId="0" borderId="33" xfId="1" applyNumberFormat="1" applyFont="1" applyFill="1" applyBorder="1" applyAlignment="1">
      <alignment horizontal="right" vertical="center"/>
    </xf>
    <xf numFmtId="0" fontId="7" fillId="0" borderId="0" xfId="1" applyFont="1" applyFill="1"/>
    <xf numFmtId="0" fontId="5" fillId="0" borderId="0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1" fontId="3" fillId="0" borderId="0" xfId="1" applyNumberFormat="1" applyFont="1" applyFill="1" applyBorder="1" applyAlignment="1">
      <alignment horizontal="right"/>
    </xf>
    <xf numFmtId="0" fontId="5" fillId="0" borderId="0" xfId="1" applyFont="1" applyFill="1" applyAlignment="1">
      <alignment horizontal="centerContinuous"/>
    </xf>
    <xf numFmtId="165" fontId="5" fillId="0" borderId="0" xfId="1" applyNumberFormat="1" applyFont="1" applyFill="1"/>
    <xf numFmtId="0" fontId="5" fillId="0" borderId="1" xfId="1" applyFont="1" applyFill="1" applyBorder="1"/>
    <xf numFmtId="0" fontId="5" fillId="0" borderId="2" xfId="1" applyFont="1" applyFill="1" applyBorder="1"/>
    <xf numFmtId="0" fontId="5" fillId="0" borderId="3" xfId="1" applyFont="1" applyFill="1" applyBorder="1"/>
    <xf numFmtId="0" fontId="5" fillId="0" borderId="23" xfId="1" applyFont="1" applyFill="1" applyBorder="1"/>
    <xf numFmtId="0" fontId="5" fillId="0" borderId="24" xfId="1" applyFont="1" applyFill="1" applyBorder="1"/>
    <xf numFmtId="0" fontId="5" fillId="0" borderId="26" xfId="1" applyFont="1" applyFill="1" applyBorder="1" applyAlignment="1">
      <alignment horizontal="center"/>
    </xf>
    <xf numFmtId="0" fontId="5" fillId="0" borderId="33" xfId="1" applyFont="1" applyFill="1" applyBorder="1" applyAlignment="1">
      <alignment horizontal="center"/>
    </xf>
    <xf numFmtId="0" fontId="5" fillId="0" borderId="43" xfId="1" applyFont="1" applyFill="1" applyBorder="1" applyAlignment="1">
      <alignment horizontal="center"/>
    </xf>
    <xf numFmtId="0" fontId="5" fillId="0" borderId="10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right" vertical="center"/>
    </xf>
    <xf numFmtId="0" fontId="5" fillId="4" borderId="0" xfId="1" applyFont="1" applyFill="1"/>
    <xf numFmtId="0" fontId="8" fillId="0" borderId="0" xfId="1" applyFont="1" applyAlignment="1">
      <alignment wrapText="1"/>
    </xf>
    <xf numFmtId="0" fontId="5" fillId="0" borderId="0" xfId="1" applyFont="1" applyFill="1" applyBorder="1" applyAlignment="1">
      <alignment horizontal="center" vertical="justify"/>
    </xf>
    <xf numFmtId="0" fontId="12" fillId="0" borderId="9" xfId="1" applyFont="1" applyFill="1" applyBorder="1" applyAlignment="1">
      <alignment horizontal="right" vertical="center"/>
    </xf>
    <xf numFmtId="0" fontId="12" fillId="0" borderId="31" xfId="1" applyFont="1" applyFill="1" applyBorder="1" applyAlignment="1">
      <alignment horizontal="right" vertical="center"/>
    </xf>
    <xf numFmtId="0" fontId="12" fillId="0" borderId="9" xfId="1" applyFont="1" applyFill="1" applyBorder="1" applyAlignment="1">
      <alignment horizontal="center" vertical="center"/>
    </xf>
    <xf numFmtId="0" fontId="12" fillId="0" borderId="26" xfId="1" applyFont="1" applyFill="1" applyBorder="1" applyAlignment="1">
      <alignment horizontal="center" vertical="center"/>
    </xf>
    <xf numFmtId="0" fontId="12" fillId="4" borderId="31" xfId="1" applyFont="1" applyFill="1" applyBorder="1" applyAlignment="1">
      <alignment horizontal="center" vertical="center"/>
    </xf>
    <xf numFmtId="0" fontId="12" fillId="4" borderId="31" xfId="1" applyFont="1" applyFill="1" applyBorder="1" applyAlignment="1">
      <alignment horizontal="right" vertical="center"/>
    </xf>
    <xf numFmtId="0" fontId="12" fillId="4" borderId="31" xfId="1" applyFont="1" applyFill="1" applyBorder="1" applyAlignment="1">
      <alignment vertical="center"/>
    </xf>
    <xf numFmtId="0" fontId="12" fillId="4" borderId="32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right" vertical="center"/>
    </xf>
    <xf numFmtId="0" fontId="12" fillId="0" borderId="0" xfId="1" applyFont="1" applyFill="1" applyBorder="1" applyAlignment="1">
      <alignment vertical="center"/>
    </xf>
    <xf numFmtId="0" fontId="12" fillId="0" borderId="16" xfId="1" applyFont="1" applyFill="1" applyBorder="1" applyAlignment="1">
      <alignment vertical="center"/>
    </xf>
    <xf numFmtId="0" fontId="12" fillId="0" borderId="49" xfId="1" applyFont="1" applyFill="1" applyBorder="1" applyAlignment="1">
      <alignment horizontal="center" vertical="center"/>
    </xf>
    <xf numFmtId="0" fontId="12" fillId="0" borderId="47" xfId="1" applyFont="1" applyFill="1" applyBorder="1" applyAlignment="1">
      <alignment horizontal="right" vertical="center"/>
    </xf>
    <xf numFmtId="0" fontId="12" fillId="0" borderId="49" xfId="1" applyFont="1" applyFill="1" applyBorder="1" applyAlignment="1">
      <alignment horizontal="right" vertical="center"/>
    </xf>
    <xf numFmtId="0" fontId="12" fillId="0" borderId="47" xfId="1" applyFont="1" applyFill="1" applyBorder="1" applyAlignment="1">
      <alignment vertical="center"/>
    </xf>
    <xf numFmtId="0" fontId="12" fillId="0" borderId="50" xfId="1" applyFont="1" applyFill="1" applyBorder="1" applyAlignment="1">
      <alignment vertical="center"/>
    </xf>
    <xf numFmtId="0" fontId="14" fillId="0" borderId="0" xfId="3" applyFont="1"/>
    <xf numFmtId="0" fontId="9" fillId="0" borderId="0" xfId="3"/>
    <xf numFmtId="0" fontId="16" fillId="0" borderId="0" xfId="3" applyFont="1"/>
    <xf numFmtId="0" fontId="14" fillId="0" borderId="0" xfId="3" applyFont="1" applyBorder="1"/>
    <xf numFmtId="0" fontId="5" fillId="5" borderId="52" xfId="3" applyFont="1" applyFill="1" applyBorder="1" applyAlignment="1">
      <alignment horizontal="center" vertical="center"/>
    </xf>
    <xf numFmtId="0" fontId="5" fillId="0" borderId="52" xfId="3" applyFont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5" fillId="5" borderId="12" xfId="3" applyFont="1" applyFill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6" fillId="0" borderId="45" xfId="3" applyFont="1" applyBorder="1" applyAlignment="1">
      <alignment horizontal="center"/>
    </xf>
    <xf numFmtId="0" fontId="6" fillId="0" borderId="53" xfId="3" applyFont="1" applyBorder="1" applyAlignment="1">
      <alignment horizontal="center"/>
    </xf>
    <xf numFmtId="0" fontId="9" fillId="0" borderId="0" xfId="3" applyBorder="1"/>
    <xf numFmtId="0" fontId="5" fillId="0" borderId="26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/>
    </xf>
    <xf numFmtId="2" fontId="18" fillId="0" borderId="0" xfId="3" applyNumberFormat="1" applyFont="1" applyBorder="1" applyAlignment="1"/>
    <xf numFmtId="0" fontId="9" fillId="0" borderId="24" xfId="3" applyBorder="1"/>
    <xf numFmtId="0" fontId="9" fillId="0" borderId="53" xfId="3" applyBorder="1"/>
    <xf numFmtId="0" fontId="6" fillId="5" borderId="26" xfId="3" applyFont="1" applyFill="1" applyBorder="1" applyAlignment="1">
      <alignment horizontal="center" vertical="center"/>
    </xf>
    <xf numFmtId="0" fontId="6" fillId="5" borderId="31" xfId="3" applyFont="1" applyFill="1" applyBorder="1" applyAlignment="1">
      <alignment horizontal="center" vertical="center"/>
    </xf>
    <xf numFmtId="0" fontId="8" fillId="0" borderId="31" xfId="3" applyFont="1" applyBorder="1" applyAlignment="1">
      <alignment horizontal="center"/>
    </xf>
    <xf numFmtId="0" fontId="7" fillId="0" borderId="0" xfId="3" applyFont="1"/>
    <xf numFmtId="0" fontId="6" fillId="0" borderId="0" xfId="3" applyFont="1" applyFill="1" applyBorder="1" applyAlignment="1">
      <alignment horizontal="left"/>
    </xf>
    <xf numFmtId="0" fontId="6" fillId="0" borderId="0" xfId="3" applyFont="1" applyAlignment="1">
      <alignment horizontal="center"/>
    </xf>
    <xf numFmtId="0" fontId="6" fillId="0" borderId="0" xfId="3" applyFont="1"/>
    <xf numFmtId="0" fontId="6" fillId="0" borderId="0" xfId="3" applyFont="1" applyFill="1" applyAlignment="1">
      <alignment horizontal="center"/>
    </xf>
    <xf numFmtId="0" fontId="6" fillId="0" borderId="14" xfId="3" applyFont="1" applyBorder="1"/>
    <xf numFmtId="0" fontId="6" fillId="0" borderId="0" xfId="3" applyFont="1" applyFill="1" applyBorder="1" applyAlignment="1">
      <alignment horizontal="center"/>
    </xf>
    <xf numFmtId="0" fontId="6" fillId="0" borderId="0" xfId="3" applyFont="1" applyBorder="1" applyAlignment="1">
      <alignment horizontal="center"/>
    </xf>
    <xf numFmtId="0" fontId="6" fillId="5" borderId="31" xfId="3" applyFont="1" applyFill="1" applyBorder="1"/>
    <xf numFmtId="0" fontId="6" fillId="5" borderId="31" xfId="3" applyFont="1" applyFill="1" applyBorder="1" applyAlignment="1">
      <alignment horizontal="center"/>
    </xf>
    <xf numFmtId="0" fontId="6" fillId="5" borderId="30" xfId="3" applyFont="1" applyFill="1" applyBorder="1" applyAlignment="1">
      <alignment horizontal="center"/>
    </xf>
    <xf numFmtId="0" fontId="7" fillId="0" borderId="0" xfId="3" applyFont="1" applyFill="1" applyBorder="1"/>
    <xf numFmtId="0" fontId="6" fillId="0" borderId="0" xfId="3" applyFont="1" applyFill="1" applyBorder="1"/>
    <xf numFmtId="0" fontId="6" fillId="0" borderId="14" xfId="3" applyFont="1" applyFill="1" applyBorder="1"/>
    <xf numFmtId="0" fontId="7" fillId="0" borderId="14" xfId="3" applyFont="1" applyFill="1" applyBorder="1"/>
    <xf numFmtId="0" fontId="8" fillId="0" borderId="30" xfId="3" applyFont="1" applyBorder="1" applyAlignment="1">
      <alignment horizontal="center"/>
    </xf>
    <xf numFmtId="0" fontId="6" fillId="0" borderId="14" xfId="3" applyFont="1" applyFill="1" applyBorder="1" applyAlignment="1">
      <alignment horizontal="left"/>
    </xf>
    <xf numFmtId="0" fontId="6" fillId="5" borderId="31" xfId="3" applyFont="1" applyFill="1" applyBorder="1" applyAlignment="1">
      <alignment horizontal="left"/>
    </xf>
    <xf numFmtId="0" fontId="7" fillId="0" borderId="14" xfId="3" applyFont="1" applyFill="1" applyBorder="1" applyAlignment="1">
      <alignment horizontal="left"/>
    </xf>
    <xf numFmtId="0" fontId="7" fillId="5" borderId="31" xfId="3" applyFont="1" applyFill="1" applyBorder="1"/>
    <xf numFmtId="0" fontId="7" fillId="5" borderId="31" xfId="3" applyFont="1" applyFill="1" applyBorder="1" applyAlignment="1">
      <alignment horizontal="center"/>
    </xf>
    <xf numFmtId="0" fontId="7" fillId="5" borderId="30" xfId="3" applyFont="1" applyFill="1" applyBorder="1" applyAlignment="1">
      <alignment horizontal="center"/>
    </xf>
    <xf numFmtId="0" fontId="7" fillId="5" borderId="26" xfId="3" applyFont="1" applyFill="1" applyBorder="1"/>
    <xf numFmtId="0" fontId="7" fillId="5" borderId="26" xfId="3" applyFont="1" applyFill="1" applyBorder="1" applyAlignment="1">
      <alignment horizontal="center"/>
    </xf>
    <xf numFmtId="0" fontId="7" fillId="5" borderId="25" xfId="3" applyFont="1" applyFill="1" applyBorder="1" applyAlignment="1">
      <alignment horizontal="center"/>
    </xf>
    <xf numFmtId="0" fontId="6" fillId="0" borderId="0" xfId="3" applyFont="1" applyBorder="1" applyAlignment="1">
      <alignment horizontal="right"/>
    </xf>
    <xf numFmtId="0" fontId="6" fillId="0" borderId="0" xfId="3" applyFont="1" applyBorder="1" applyAlignment="1">
      <alignment horizontal="left"/>
    </xf>
    <xf numFmtId="0" fontId="20" fillId="0" borderId="0" xfId="3" applyFont="1"/>
    <xf numFmtId="0" fontId="9" fillId="0" borderId="0" xfId="3" applyBorder="1" applyAlignment="1">
      <alignment horizontal="center"/>
    </xf>
    <xf numFmtId="0" fontId="7" fillId="0" borderId="0" xfId="3" applyFont="1" applyBorder="1"/>
    <xf numFmtId="0" fontId="6" fillId="0" borderId="53" xfId="3" applyFont="1" applyFill="1" applyBorder="1" applyAlignment="1">
      <alignment horizontal="left"/>
    </xf>
    <xf numFmtId="0" fontId="7" fillId="0" borderId="53" xfId="3" applyFont="1" applyFill="1" applyBorder="1" applyAlignment="1">
      <alignment horizontal="left"/>
    </xf>
    <xf numFmtId="0" fontId="6" fillId="0" borderId="0" xfId="3" applyFont="1" applyBorder="1"/>
    <xf numFmtId="0" fontId="7" fillId="0" borderId="0" xfId="3" applyFont="1" applyFill="1" applyBorder="1" applyAlignment="1">
      <alignment horizontal="left"/>
    </xf>
    <xf numFmtId="0" fontId="6" fillId="5" borderId="10" xfId="3" applyFont="1" applyFill="1" applyBorder="1" applyAlignment="1">
      <alignment horizontal="left"/>
    </xf>
    <xf numFmtId="0" fontId="6" fillId="5" borderId="10" xfId="3" applyFont="1" applyFill="1" applyBorder="1" applyAlignment="1">
      <alignment horizontal="center"/>
    </xf>
    <xf numFmtId="0" fontId="6" fillId="5" borderId="45" xfId="3" applyFont="1" applyFill="1" applyBorder="1" applyAlignment="1">
      <alignment horizontal="center"/>
    </xf>
    <xf numFmtId="0" fontId="7" fillId="0" borderId="11" xfId="3" applyFont="1" applyBorder="1"/>
    <xf numFmtId="0" fontId="6" fillId="0" borderId="53" xfId="3" applyFont="1" applyFill="1" applyBorder="1" applyAlignment="1">
      <alignment horizontal="center"/>
    </xf>
    <xf numFmtId="0" fontId="9" fillId="0" borderId="0" xfId="3" applyFill="1"/>
    <xf numFmtId="0" fontId="1" fillId="0" borderId="0" xfId="1"/>
    <xf numFmtId="0" fontId="7" fillId="5" borderId="31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6" fillId="5" borderId="37" xfId="3" applyFont="1" applyFill="1" applyBorder="1" applyAlignment="1">
      <alignment horizontal="left"/>
    </xf>
    <xf numFmtId="0" fontId="6" fillId="5" borderId="36" xfId="3" applyFont="1" applyFill="1" applyBorder="1" applyAlignment="1">
      <alignment horizontal="center"/>
    </xf>
    <xf numFmtId="0" fontId="6" fillId="5" borderId="37" xfId="3" applyFont="1" applyFill="1" applyBorder="1" applyAlignment="1">
      <alignment horizontal="center"/>
    </xf>
    <xf numFmtId="0" fontId="1" fillId="0" borderId="0" xfId="1"/>
    <xf numFmtId="0" fontId="9" fillId="0" borderId="53" xfId="3" applyFill="1" applyBorder="1"/>
    <xf numFmtId="0" fontId="7" fillId="6" borderId="31" xfId="3" applyFont="1" applyFill="1" applyBorder="1"/>
    <xf numFmtId="0" fontId="7" fillId="6" borderId="31" xfId="3" applyFont="1" applyFill="1" applyBorder="1" applyAlignment="1">
      <alignment horizontal="center"/>
    </xf>
    <xf numFmtId="0" fontId="7" fillId="6" borderId="26" xfId="3" applyFont="1" applyFill="1" applyBorder="1"/>
    <xf numFmtId="0" fontId="7" fillId="6" borderId="26" xfId="3" applyFont="1" applyFill="1" applyBorder="1" applyAlignment="1">
      <alignment horizontal="center"/>
    </xf>
    <xf numFmtId="0" fontId="7" fillId="6" borderId="25" xfId="3" applyFont="1" applyFill="1" applyBorder="1" applyAlignment="1">
      <alignment horizontal="center"/>
    </xf>
    <xf numFmtId="0" fontId="7" fillId="6" borderId="30" xfId="3" applyFont="1" applyFill="1" applyBorder="1" applyAlignment="1">
      <alignment horizontal="center"/>
    </xf>
    <xf numFmtId="0" fontId="7" fillId="6" borderId="9" xfId="3" applyFont="1" applyFill="1" applyBorder="1"/>
    <xf numFmtId="0" fontId="7" fillId="6" borderId="9" xfId="3" applyFont="1" applyFill="1" applyBorder="1" applyAlignment="1">
      <alignment horizontal="center"/>
    </xf>
    <xf numFmtId="0" fontId="7" fillId="6" borderId="10" xfId="3" applyFont="1" applyFill="1" applyBorder="1"/>
    <xf numFmtId="0" fontId="7" fillId="6" borderId="10" xfId="3" applyFont="1" applyFill="1" applyBorder="1" applyAlignment="1">
      <alignment horizontal="center"/>
    </xf>
    <xf numFmtId="0" fontId="7" fillId="6" borderId="45" xfId="3" applyFont="1" applyFill="1" applyBorder="1" applyAlignment="1">
      <alignment horizontal="center"/>
    </xf>
    <xf numFmtId="0" fontId="1" fillId="0" borderId="0" xfId="1" applyBorder="1"/>
    <xf numFmtId="0" fontId="6" fillId="5" borderId="59" xfId="3" applyFont="1" applyFill="1" applyBorder="1"/>
    <xf numFmtId="0" fontId="6" fillId="5" borderId="60" xfId="3" applyFont="1" applyFill="1" applyBorder="1" applyAlignment="1">
      <alignment horizontal="center"/>
    </xf>
    <xf numFmtId="0" fontId="6" fillId="5" borderId="61" xfId="3" applyFont="1" applyFill="1" applyBorder="1" applyAlignment="1">
      <alignment horizontal="center"/>
    </xf>
    <xf numFmtId="0" fontId="6" fillId="5" borderId="26" xfId="3" applyFont="1" applyFill="1" applyBorder="1"/>
    <xf numFmtId="0" fontId="6" fillId="5" borderId="25" xfId="3" applyFont="1" applyFill="1" applyBorder="1" applyAlignment="1">
      <alignment horizontal="center"/>
    </xf>
    <xf numFmtId="0" fontId="6" fillId="0" borderId="63" xfId="3" applyFont="1" applyFill="1" applyBorder="1"/>
    <xf numFmtId="0" fontId="6" fillId="0" borderId="64" xfId="3" applyFont="1" applyBorder="1" applyAlignment="1">
      <alignment horizontal="center"/>
    </xf>
    <xf numFmtId="0" fontId="6" fillId="0" borderId="65" xfId="3" applyFont="1" applyBorder="1" applyAlignment="1">
      <alignment horizontal="center"/>
    </xf>
    <xf numFmtId="0" fontId="18" fillId="0" borderId="0" xfId="3" applyNumberFormat="1" applyFont="1" applyBorder="1" applyAlignment="1">
      <alignment horizontal="center"/>
    </xf>
    <xf numFmtId="0" fontId="5" fillId="3" borderId="52" xfId="3" applyFont="1" applyFill="1" applyBorder="1" applyAlignment="1">
      <alignment horizontal="center" vertical="center"/>
    </xf>
    <xf numFmtId="0" fontId="18" fillId="0" borderId="0" xfId="4" applyFont="1"/>
    <xf numFmtId="0" fontId="21" fillId="0" borderId="0" xfId="4"/>
    <xf numFmtId="0" fontId="5" fillId="0" borderId="31" xfId="4" applyFont="1" applyFill="1" applyBorder="1" applyAlignment="1">
      <alignment horizontal="center"/>
    </xf>
    <xf numFmtId="0" fontId="5" fillId="0" borderId="31" xfId="4" applyFont="1" applyBorder="1" applyAlignment="1">
      <alignment horizontal="center"/>
    </xf>
    <xf numFmtId="0" fontId="5" fillId="5" borderId="14" xfId="4" applyFont="1" applyFill="1" applyBorder="1" applyAlignment="1"/>
    <xf numFmtId="0" fontId="5" fillId="0" borderId="52" xfId="4" applyFont="1" applyFill="1" applyBorder="1"/>
    <xf numFmtId="0" fontId="5" fillId="0" borderId="31" xfId="4" applyFont="1" applyBorder="1" applyAlignment="1">
      <alignment horizontal="right"/>
    </xf>
    <xf numFmtId="0" fontId="6" fillId="0" borderId="10" xfId="4" applyFont="1" applyBorder="1" applyAlignment="1">
      <alignment horizontal="right"/>
    </xf>
    <xf numFmtId="0" fontId="5" fillId="5" borderId="4" xfId="4" applyFont="1" applyFill="1" applyBorder="1"/>
    <xf numFmtId="0" fontId="5" fillId="5" borderId="41" xfId="4" applyFont="1" applyFill="1" applyBorder="1" applyAlignment="1">
      <alignment horizontal="right"/>
    </xf>
    <xf numFmtId="0" fontId="5" fillId="0" borderId="26" xfId="4" applyFont="1" applyBorder="1" applyAlignment="1">
      <alignment horizontal="right"/>
    </xf>
    <xf numFmtId="0" fontId="3" fillId="0" borderId="31" xfId="4" applyFont="1" applyFill="1" applyBorder="1"/>
    <xf numFmtId="0" fontId="2" fillId="0" borderId="0" xfId="4" applyFont="1" applyAlignment="1">
      <alignment horizontal="center"/>
    </xf>
    <xf numFmtId="0" fontId="2" fillId="0" borderId="0" xfId="4" applyFont="1"/>
    <xf numFmtId="0" fontId="4" fillId="0" borderId="0" xfId="4" applyFont="1"/>
    <xf numFmtId="0" fontId="4" fillId="0" borderId="0" xfId="4" applyFont="1" applyBorder="1"/>
    <xf numFmtId="0" fontId="5" fillId="0" borderId="9" xfId="4" applyFont="1" applyFill="1" applyBorder="1" applyAlignment="1">
      <alignment horizontal="center"/>
    </xf>
    <xf numFmtId="0" fontId="5" fillId="0" borderId="10" xfId="4" applyFont="1" applyBorder="1" applyAlignment="1">
      <alignment horizontal="center"/>
    </xf>
    <xf numFmtId="0" fontId="5" fillId="0" borderId="11" xfId="4" applyFont="1" applyBorder="1" applyAlignment="1">
      <alignment horizontal="center"/>
    </xf>
    <xf numFmtId="0" fontId="5" fillId="0" borderId="43" xfId="4" applyFont="1" applyBorder="1" applyAlignment="1">
      <alignment horizontal="center"/>
    </xf>
    <xf numFmtId="0" fontId="5" fillId="0" borderId="45" xfId="4" applyFont="1" applyBorder="1" applyAlignment="1">
      <alignment horizontal="center"/>
    </xf>
    <xf numFmtId="0" fontId="5" fillId="0" borderId="31" xfId="4" applyFont="1" applyFill="1" applyBorder="1"/>
    <xf numFmtId="0" fontId="3" fillId="0" borderId="51" xfId="4" applyFont="1" applyFill="1" applyBorder="1"/>
    <xf numFmtId="0" fontId="3" fillId="0" borderId="49" xfId="4" applyFont="1" applyBorder="1" applyAlignment="1">
      <alignment horizontal="right"/>
    </xf>
    <xf numFmtId="1" fontId="3" fillId="0" borderId="49" xfId="4" applyNumberFormat="1" applyFont="1" applyBorder="1" applyAlignment="1">
      <alignment horizontal="right"/>
    </xf>
    <xf numFmtId="0" fontId="5" fillId="5" borderId="12" xfId="4" applyFont="1" applyFill="1" applyBorder="1"/>
    <xf numFmtId="0" fontId="5" fillId="5" borderId="26" xfId="4" applyFont="1" applyFill="1" applyBorder="1" applyAlignment="1">
      <alignment horizontal="right"/>
    </xf>
    <xf numFmtId="0" fontId="3" fillId="0" borderId="31" xfId="4" applyFont="1" applyBorder="1"/>
    <xf numFmtId="0" fontId="24" fillId="0" borderId="0" xfId="4" applyFont="1"/>
    <xf numFmtId="0" fontId="5" fillId="0" borderId="26" xfId="4" applyFont="1" applyFill="1" applyBorder="1" applyAlignment="1">
      <alignment horizontal="center"/>
    </xf>
    <xf numFmtId="0" fontId="5" fillId="5" borderId="12" xfId="4" applyFont="1" applyFill="1" applyBorder="1" applyAlignment="1">
      <alignment horizontal="left" wrapText="1"/>
    </xf>
    <xf numFmtId="0" fontId="5" fillId="5" borderId="31" xfId="4" applyFont="1" applyFill="1" applyBorder="1" applyAlignment="1">
      <alignment horizontal="right" wrapText="1"/>
    </xf>
    <xf numFmtId="0" fontId="5" fillId="5" borderId="29" xfId="4" applyFont="1" applyFill="1" applyBorder="1" applyAlignment="1">
      <alignment horizontal="right" wrapText="1"/>
    </xf>
    <xf numFmtId="0" fontId="5" fillId="5" borderId="30" xfId="4" applyFont="1" applyFill="1" applyBorder="1" applyAlignment="1">
      <alignment horizontal="right" wrapText="1"/>
    </xf>
    <xf numFmtId="0" fontId="21" fillId="0" borderId="0" xfId="4" applyFill="1"/>
    <xf numFmtId="0" fontId="5" fillId="0" borderId="52" xfId="4" applyFont="1" applyFill="1" applyBorder="1" applyAlignment="1">
      <alignment horizontal="left"/>
    </xf>
    <xf numFmtId="0" fontId="7" fillId="0" borderId="66" xfId="4" applyFont="1" applyFill="1" applyBorder="1" applyAlignment="1">
      <alignment horizontal="left"/>
    </xf>
    <xf numFmtId="0" fontId="7" fillId="0" borderId="37" xfId="4" applyFont="1" applyBorder="1" applyAlignment="1"/>
    <xf numFmtId="0" fontId="5" fillId="0" borderId="12" xfId="4" applyFont="1" applyFill="1" applyBorder="1"/>
    <xf numFmtId="0" fontId="5" fillId="0" borderId="26" xfId="4" applyFont="1" applyFill="1" applyBorder="1" applyAlignment="1"/>
    <xf numFmtId="0" fontId="5" fillId="0" borderId="24" xfId="4" applyFont="1" applyFill="1" applyBorder="1" applyAlignment="1"/>
    <xf numFmtId="0" fontId="5" fillId="0" borderId="25" xfId="4" applyFont="1" applyFill="1" applyBorder="1" applyAlignment="1"/>
    <xf numFmtId="0" fontId="5" fillId="0" borderId="31" xfId="4" applyFont="1" applyBorder="1" applyAlignment="1"/>
    <xf numFmtId="0" fontId="5" fillId="0" borderId="29" xfId="4" applyFont="1" applyBorder="1" applyAlignment="1"/>
    <xf numFmtId="0" fontId="7" fillId="0" borderId="37" xfId="4" applyFont="1" applyFill="1" applyBorder="1" applyAlignment="1">
      <alignment horizontal="left"/>
    </xf>
    <xf numFmtId="0" fontId="5" fillId="0" borderId="14" xfId="4" applyFont="1" applyFill="1" applyBorder="1"/>
    <xf numFmtId="0" fontId="5" fillId="0" borderId="9" xfId="4" applyFont="1" applyFill="1" applyBorder="1" applyAlignment="1"/>
    <xf numFmtId="0" fontId="5" fillId="0" borderId="0" xfId="4" applyFont="1" applyFill="1" applyBorder="1" applyAlignment="1"/>
    <xf numFmtId="1" fontId="5" fillId="0" borderId="0" xfId="4" applyNumberFormat="1" applyFont="1" applyFill="1" applyBorder="1" applyAlignment="1"/>
    <xf numFmtId="0" fontId="5" fillId="0" borderId="53" xfId="4" applyFont="1" applyFill="1" applyBorder="1" applyAlignment="1"/>
    <xf numFmtId="0" fontId="5" fillId="5" borderId="52" xfId="4" applyFont="1" applyFill="1" applyBorder="1"/>
    <xf numFmtId="0" fontId="5" fillId="5" borderId="31" xfId="4" applyFont="1" applyFill="1" applyBorder="1" applyAlignment="1"/>
    <xf numFmtId="0" fontId="5" fillId="5" borderId="52" xfId="4" applyFont="1" applyFill="1" applyBorder="1" applyAlignment="1"/>
    <xf numFmtId="0" fontId="5" fillId="0" borderId="9" xfId="4" applyFont="1" applyBorder="1" applyAlignment="1"/>
    <xf numFmtId="0" fontId="7" fillId="0" borderId="66" xfId="4" applyFont="1" applyBorder="1" applyAlignment="1"/>
    <xf numFmtId="0" fontId="5" fillId="0" borderId="6" xfId="4" applyFont="1" applyFill="1" applyBorder="1"/>
    <xf numFmtId="0" fontId="5" fillId="0" borderId="3" xfId="4" applyFont="1" applyFill="1" applyBorder="1" applyAlignment="1"/>
    <xf numFmtId="0" fontId="5" fillId="0" borderId="2" xfId="4" applyFont="1" applyFill="1" applyBorder="1" applyAlignment="1"/>
    <xf numFmtId="0" fontId="5" fillId="0" borderId="0" xfId="4" applyFont="1" applyBorder="1" applyAlignment="1"/>
    <xf numFmtId="0" fontId="5" fillId="0" borderId="53" xfId="4" applyFont="1" applyBorder="1" applyAlignment="1"/>
    <xf numFmtId="0" fontId="5" fillId="5" borderId="26" xfId="4" applyFont="1" applyFill="1" applyBorder="1" applyAlignment="1"/>
    <xf numFmtId="0" fontId="5" fillId="5" borderId="24" xfId="4" applyFont="1" applyFill="1" applyBorder="1" applyAlignment="1"/>
    <xf numFmtId="0" fontId="5" fillId="5" borderId="25" xfId="4" applyFont="1" applyFill="1" applyBorder="1" applyAlignment="1"/>
    <xf numFmtId="0" fontId="3" fillId="5" borderId="41" xfId="4" applyFont="1" applyFill="1" applyBorder="1"/>
    <xf numFmtId="0" fontId="3" fillId="5" borderId="41" xfId="4" applyFont="1" applyFill="1" applyBorder="1" applyAlignment="1"/>
    <xf numFmtId="0" fontId="3" fillId="0" borderId="31" xfId="4" applyFont="1" applyBorder="1" applyAlignment="1"/>
    <xf numFmtId="0" fontId="3" fillId="0" borderId="26" xfId="4" applyFont="1" applyBorder="1" applyAlignment="1"/>
    <xf numFmtId="0" fontId="3" fillId="0" borderId="31" xfId="4" applyFont="1" applyFill="1" applyBorder="1" applyAlignment="1">
      <alignment horizontal="left"/>
    </xf>
    <xf numFmtId="1" fontId="3" fillId="0" borderId="31" xfId="4" applyNumberFormat="1" applyFont="1" applyBorder="1" applyAlignment="1"/>
    <xf numFmtId="0" fontId="10" fillId="0" borderId="0" xfId="4" applyFont="1"/>
    <xf numFmtId="0" fontId="17" fillId="0" borderId="0" xfId="4" applyFont="1" applyAlignment="1">
      <alignment horizontal="center"/>
    </xf>
    <xf numFmtId="0" fontId="14" fillId="0" borderId="0" xfId="4" applyFont="1"/>
    <xf numFmtId="0" fontId="16" fillId="0" borderId="0" xfId="4" applyFont="1" applyAlignment="1">
      <alignment horizontal="center"/>
    </xf>
    <xf numFmtId="0" fontId="16" fillId="0" borderId="0" xfId="4" applyFont="1"/>
    <xf numFmtId="0" fontId="6" fillId="0" borderId="70" xfId="4" applyFont="1" applyBorder="1" applyAlignment="1">
      <alignment horizontal="centerContinuous"/>
    </xf>
    <xf numFmtId="166" fontId="6" fillId="0" borderId="37" xfId="4" applyNumberFormat="1" applyFont="1" applyBorder="1" applyAlignment="1">
      <alignment horizontal="centerContinuous"/>
    </xf>
    <xf numFmtId="166" fontId="6" fillId="0" borderId="66" xfId="4" applyNumberFormat="1" applyFont="1" applyBorder="1" applyAlignment="1">
      <alignment horizontal="centerContinuous"/>
    </xf>
    <xf numFmtId="166" fontId="6" fillId="0" borderId="38" xfId="4" applyNumberFormat="1" applyFont="1" applyBorder="1" applyAlignment="1">
      <alignment horizontal="center"/>
    </xf>
    <xf numFmtId="0" fontId="6" fillId="0" borderId="71" xfId="4" applyFont="1" applyBorder="1"/>
    <xf numFmtId="0" fontId="6" fillId="0" borderId="41" xfId="4" applyFont="1" applyBorder="1"/>
    <xf numFmtId="0" fontId="6" fillId="0" borderId="42" xfId="4" applyFont="1" applyBorder="1"/>
    <xf numFmtId="0" fontId="6" fillId="0" borderId="72" xfId="4" applyFont="1" applyBorder="1"/>
    <xf numFmtId="0" fontId="6" fillId="0" borderId="31" xfId="4" applyFont="1" applyBorder="1"/>
    <xf numFmtId="0" fontId="6" fillId="0" borderId="32" xfId="4" applyFont="1" applyBorder="1"/>
    <xf numFmtId="0" fontId="7" fillId="5" borderId="72" xfId="4" applyFont="1" applyFill="1" applyBorder="1"/>
    <xf numFmtId="166" fontId="7" fillId="5" borderId="31" xfId="4" applyNumberFormat="1" applyFont="1" applyFill="1" applyBorder="1"/>
    <xf numFmtId="166" fontId="7" fillId="5" borderId="32" xfId="4" applyNumberFormat="1" applyFont="1" applyFill="1" applyBorder="1"/>
    <xf numFmtId="0" fontId="6" fillId="0" borderId="70" xfId="4" applyFont="1" applyBorder="1"/>
    <xf numFmtId="166" fontId="6" fillId="0" borderId="37" xfId="4" applyNumberFormat="1" applyFont="1" applyBorder="1"/>
    <xf numFmtId="0" fontId="6" fillId="0" borderId="37" xfId="4" applyNumberFormat="1" applyFont="1" applyBorder="1"/>
    <xf numFmtId="0" fontId="6" fillId="0" borderId="38" xfId="4" applyNumberFormat="1" applyFont="1" applyBorder="1"/>
    <xf numFmtId="0" fontId="7" fillId="5" borderId="31" xfId="4" applyFont="1" applyFill="1" applyBorder="1"/>
    <xf numFmtId="0" fontId="7" fillId="5" borderId="32" xfId="4" applyFont="1" applyFill="1" applyBorder="1"/>
    <xf numFmtId="0" fontId="6" fillId="0" borderId="37" xfId="4" applyFont="1" applyBorder="1"/>
    <xf numFmtId="0" fontId="6" fillId="0" borderId="38" xfId="4" applyFont="1" applyBorder="1"/>
    <xf numFmtId="0" fontId="25" fillId="0" borderId="0" xfId="4" applyFont="1"/>
    <xf numFmtId="0" fontId="16" fillId="0" borderId="0" xfId="4" applyFont="1" applyAlignment="1">
      <alignment horizontal="center"/>
    </xf>
    <xf numFmtId="0" fontId="2" fillId="0" borderId="24" xfId="4" applyFont="1" applyBorder="1"/>
    <xf numFmtId="0" fontId="11" fillId="0" borderId="24" xfId="4" applyFont="1" applyBorder="1"/>
    <xf numFmtId="0" fontId="21" fillId="0" borderId="53" xfId="4" applyBorder="1"/>
    <xf numFmtId="0" fontId="6" fillId="0" borderId="31" xfId="4" applyFont="1" applyBorder="1" applyAlignment="1">
      <alignment horizontal="centerContinuous"/>
    </xf>
    <xf numFmtId="166" fontId="6" fillId="0" borderId="31" xfId="4" applyNumberFormat="1" applyFont="1" applyBorder="1" applyAlignment="1">
      <alignment horizontal="centerContinuous"/>
    </xf>
    <xf numFmtId="166" fontId="6" fillId="0" borderId="31" xfId="4" applyNumberFormat="1" applyFont="1" applyBorder="1" applyAlignment="1"/>
    <xf numFmtId="166" fontId="6" fillId="0" borderId="12" xfId="4" applyNumberFormat="1" applyFont="1" applyBorder="1" applyAlignment="1">
      <alignment horizontal="centerContinuous"/>
    </xf>
    <xf numFmtId="166" fontId="6" fillId="0" borderId="31" xfId="4" applyNumberFormat="1" applyFont="1" applyBorder="1" applyAlignment="1">
      <alignment horizontal="center"/>
    </xf>
    <xf numFmtId="0" fontId="21" fillId="0" borderId="0" xfId="4" applyBorder="1"/>
    <xf numFmtId="0" fontId="6" fillId="0" borderId="11" xfId="4" applyFont="1" applyBorder="1"/>
    <xf numFmtId="166" fontId="6" fillId="0" borderId="9" xfId="4" applyNumberFormat="1" applyFont="1" applyBorder="1" applyAlignment="1"/>
    <xf numFmtId="0" fontId="6" fillId="0" borderId="10" xfId="4" applyFont="1" applyFill="1" applyBorder="1" applyAlignment="1"/>
    <xf numFmtId="0" fontId="6" fillId="0" borderId="10" xfId="4" applyFont="1" applyBorder="1" applyAlignment="1"/>
    <xf numFmtId="0" fontId="6" fillId="0" borderId="45" xfId="4" applyFont="1" applyBorder="1" applyAlignment="1"/>
    <xf numFmtId="2" fontId="5" fillId="0" borderId="0" xfId="4" applyNumberFormat="1" applyFont="1" applyBorder="1"/>
    <xf numFmtId="0" fontId="6" fillId="0" borderId="14" xfId="4" applyFont="1" applyBorder="1"/>
    <xf numFmtId="0" fontId="6" fillId="0" borderId="9" xfId="4" applyFont="1" applyBorder="1" applyAlignment="1">
      <alignment horizontal="right"/>
    </xf>
    <xf numFmtId="0" fontId="6" fillId="0" borderId="9" xfId="4" applyFont="1" applyBorder="1" applyAlignment="1"/>
    <xf numFmtId="0" fontId="6" fillId="0" borderId="9" xfId="4" applyFont="1" applyFill="1" applyBorder="1" applyAlignment="1"/>
    <xf numFmtId="0" fontId="6" fillId="0" borderId="53" xfId="4" applyFont="1" applyBorder="1" applyAlignment="1"/>
    <xf numFmtId="0" fontId="6" fillId="0" borderId="0" xfId="4" applyFont="1" applyFill="1" applyBorder="1" applyAlignment="1">
      <alignment horizontal="right"/>
    </xf>
    <xf numFmtId="0" fontId="6" fillId="0" borderId="9" xfId="4" applyFont="1" applyFill="1" applyBorder="1" applyAlignment="1">
      <alignment horizontal="right"/>
    </xf>
    <xf numFmtId="1" fontId="6" fillId="0" borderId="9" xfId="4" applyNumberFormat="1" applyFont="1" applyBorder="1" applyAlignment="1">
      <alignment horizontal="right"/>
    </xf>
    <xf numFmtId="1" fontId="6" fillId="0" borderId="53" xfId="4" applyNumberFormat="1" applyFont="1" applyBorder="1" applyAlignment="1">
      <alignment horizontal="right"/>
    </xf>
    <xf numFmtId="0" fontId="6" fillId="0" borderId="0" xfId="4" applyFont="1" applyBorder="1" applyAlignment="1">
      <alignment horizontal="right"/>
    </xf>
    <xf numFmtId="0" fontId="26" fillId="0" borderId="0" xfId="4" applyFont="1" applyFill="1" applyBorder="1" applyAlignment="1">
      <alignment horizontal="right"/>
    </xf>
    <xf numFmtId="0" fontId="6" fillId="0" borderId="12" xfId="4" applyFont="1" applyBorder="1"/>
    <xf numFmtId="0" fontId="6" fillId="0" borderId="26" xfId="4" applyFont="1" applyBorder="1" applyAlignment="1">
      <alignment horizontal="right"/>
    </xf>
    <xf numFmtId="166" fontId="6" fillId="0" borderId="26" xfId="4" applyNumberFormat="1" applyFont="1" applyBorder="1" applyAlignment="1"/>
    <xf numFmtId="0" fontId="6" fillId="0" borderId="24" xfId="4" applyFont="1" applyFill="1" applyBorder="1" applyAlignment="1">
      <alignment horizontal="right"/>
    </xf>
    <xf numFmtId="0" fontId="6" fillId="0" borderId="26" xfId="4" applyFont="1" applyFill="1" applyBorder="1" applyAlignment="1">
      <alignment horizontal="right"/>
    </xf>
    <xf numFmtId="0" fontId="6" fillId="0" borderId="24" xfId="4" applyFont="1" applyBorder="1" applyAlignment="1">
      <alignment horizontal="right"/>
    </xf>
    <xf numFmtId="1" fontId="6" fillId="0" borderId="26" xfId="4" applyNumberFormat="1" applyFont="1" applyBorder="1" applyAlignment="1">
      <alignment horizontal="right"/>
    </xf>
    <xf numFmtId="1" fontId="6" fillId="0" borderId="25" xfId="4" applyNumberFormat="1" applyFont="1" applyBorder="1" applyAlignment="1">
      <alignment horizontal="right"/>
    </xf>
    <xf numFmtId="0" fontId="11" fillId="0" borderId="0" xfId="4" applyFont="1"/>
    <xf numFmtId="166" fontId="6" fillId="0" borderId="52" xfId="4" applyNumberFormat="1" applyFont="1" applyBorder="1" applyAlignment="1">
      <alignment horizontal="centerContinuous"/>
    </xf>
    <xf numFmtId="0" fontId="6" fillId="0" borderId="10" xfId="4" applyFont="1" applyBorder="1"/>
    <xf numFmtId="0" fontId="6" fillId="0" borderId="43" xfId="4" applyFont="1" applyBorder="1"/>
    <xf numFmtId="0" fontId="6" fillId="0" borderId="9" xfId="4" applyFont="1" applyBorder="1"/>
    <xf numFmtId="0" fontId="6" fillId="0" borderId="0" xfId="4" applyFont="1" applyBorder="1"/>
    <xf numFmtId="0" fontId="6" fillId="0" borderId="26" xfId="4" applyFont="1" applyBorder="1"/>
    <xf numFmtId="0" fontId="6" fillId="0" borderId="24" xfId="4" applyFont="1" applyBorder="1"/>
    <xf numFmtId="0" fontId="6" fillId="0" borderId="31" xfId="4" applyNumberFormat="1" applyFont="1" applyBorder="1"/>
    <xf numFmtId="0" fontId="6" fillId="0" borderId="11" xfId="4" applyFont="1" applyBorder="1" applyAlignment="1">
      <alignment horizontal="left"/>
    </xf>
    <xf numFmtId="166" fontId="6" fillId="0" borderId="10" xfId="4" applyNumberFormat="1" applyFont="1" applyBorder="1" applyAlignment="1">
      <alignment horizontal="right"/>
    </xf>
    <xf numFmtId="166" fontId="6" fillId="0" borderId="43" xfId="4" applyNumberFormat="1" applyFont="1" applyBorder="1" applyAlignment="1">
      <alignment horizontal="right"/>
    </xf>
    <xf numFmtId="166" fontId="6" fillId="0" borderId="45" xfId="4" applyNumberFormat="1" applyFont="1" applyBorder="1" applyAlignment="1">
      <alignment horizontal="right"/>
    </xf>
    <xf numFmtId="0" fontId="6" fillId="0" borderId="14" xfId="4" applyFont="1" applyBorder="1" applyAlignment="1">
      <alignment wrapText="1"/>
    </xf>
    <xf numFmtId="0" fontId="6" fillId="0" borderId="53" xfId="4" applyFont="1" applyBorder="1" applyAlignment="1">
      <alignment horizontal="right"/>
    </xf>
    <xf numFmtId="0" fontId="6" fillId="0" borderId="12" xfId="4" applyFont="1" applyBorder="1" applyAlignment="1">
      <alignment wrapText="1"/>
    </xf>
    <xf numFmtId="166" fontId="7" fillId="5" borderId="31" xfId="4" applyNumberFormat="1" applyFont="1" applyFill="1" applyBorder="1" applyAlignment="1">
      <alignment horizontal="right"/>
    </xf>
    <xf numFmtId="0" fontId="6" fillId="0" borderId="31" xfId="4" applyFont="1" applyBorder="1" applyAlignment="1">
      <alignment horizontal="right"/>
    </xf>
    <xf numFmtId="0" fontId="6" fillId="0" borderId="31" xfId="4" applyNumberFormat="1" applyFont="1" applyBorder="1" applyAlignment="1">
      <alignment horizontal="right"/>
    </xf>
    <xf numFmtId="0" fontId="6" fillId="0" borderId="52" xfId="4" applyFont="1" applyBorder="1"/>
    <xf numFmtId="0" fontId="6" fillId="0" borderId="43" xfId="4" applyFont="1" applyBorder="1" applyAlignment="1">
      <alignment horizontal="centerContinuous"/>
    </xf>
    <xf numFmtId="0" fontId="6" fillId="0" borderId="45" xfId="4" applyFont="1" applyBorder="1"/>
    <xf numFmtId="0" fontId="6" fillId="0" borderId="53" xfId="4" applyFont="1" applyBorder="1"/>
    <xf numFmtId="0" fontId="6" fillId="0" borderId="0" xfId="4" applyFont="1"/>
    <xf numFmtId="166" fontId="7" fillId="0" borderId="31" xfId="4" applyNumberFormat="1" applyFont="1" applyFill="1" applyBorder="1"/>
    <xf numFmtId="0" fontId="6" fillId="0" borderId="31" xfId="4" applyNumberFormat="1" applyFont="1" applyFill="1" applyBorder="1"/>
    <xf numFmtId="0" fontId="5" fillId="0" borderId="10" xfId="1" applyNumberFormat="1" applyFont="1" applyFill="1" applyBorder="1" applyAlignment="1">
      <alignment horizontal="right" vertical="center"/>
    </xf>
    <xf numFmtId="0" fontId="3" fillId="0" borderId="54" xfId="3" applyFont="1" applyBorder="1" applyAlignment="1">
      <alignment horizontal="center" vertical="center"/>
    </xf>
    <xf numFmtId="0" fontId="7" fillId="0" borderId="11" xfId="4" applyFont="1" applyFill="1" applyBorder="1"/>
    <xf numFmtId="0" fontId="7" fillId="0" borderId="10" xfId="4" applyFont="1" applyBorder="1" applyAlignment="1">
      <alignment horizontal="right"/>
    </xf>
    <xf numFmtId="0" fontId="5" fillId="0" borderId="0" xfId="4" applyFont="1" applyFill="1" applyBorder="1" applyAlignment="1">
      <alignment horizontal="right"/>
    </xf>
    <xf numFmtId="0" fontId="5" fillId="0" borderId="9" xfId="4" applyFont="1" applyFill="1" applyBorder="1" applyAlignment="1">
      <alignment horizontal="right"/>
    </xf>
    <xf numFmtId="1" fontId="5" fillId="0" borderId="0" xfId="4" applyNumberFormat="1" applyFont="1" applyFill="1" applyBorder="1" applyAlignment="1">
      <alignment horizontal="right"/>
    </xf>
    <xf numFmtId="0" fontId="5" fillId="0" borderId="53" xfId="4" applyFont="1" applyFill="1" applyBorder="1" applyAlignment="1">
      <alignment horizontal="right"/>
    </xf>
    <xf numFmtId="0" fontId="5" fillId="5" borderId="14" xfId="4" applyFont="1" applyFill="1" applyBorder="1" applyAlignment="1">
      <alignment horizontal="right"/>
    </xf>
    <xf numFmtId="0" fontId="5" fillId="5" borderId="93" xfId="4" applyFont="1" applyFill="1" applyBorder="1" applyAlignment="1">
      <alignment horizontal="right"/>
    </xf>
    <xf numFmtId="0" fontId="5" fillId="5" borderId="57" xfId="4" applyFont="1" applyFill="1" applyBorder="1" applyAlignment="1">
      <alignment horizontal="right"/>
    </xf>
    <xf numFmtId="0" fontId="5" fillId="5" borderId="94" xfId="4" applyFont="1" applyFill="1" applyBorder="1" applyAlignment="1">
      <alignment horizontal="right"/>
    </xf>
    <xf numFmtId="1" fontId="5" fillId="5" borderId="94" xfId="4" applyNumberFormat="1" applyFont="1" applyFill="1" applyBorder="1" applyAlignment="1">
      <alignment horizontal="right"/>
    </xf>
    <xf numFmtId="0" fontId="5" fillId="5" borderId="58" xfId="4" applyFont="1" applyFill="1" applyBorder="1" applyAlignment="1">
      <alignment horizontal="right"/>
    </xf>
    <xf numFmtId="0" fontId="5" fillId="5" borderId="3" xfId="4" applyFont="1" applyFill="1" applyBorder="1" applyAlignment="1">
      <alignment horizontal="right"/>
    </xf>
    <xf numFmtId="0" fontId="5" fillId="5" borderId="2" xfId="4" applyFont="1" applyFill="1" applyBorder="1" applyAlignment="1">
      <alignment horizontal="right"/>
    </xf>
    <xf numFmtId="0" fontId="5" fillId="5" borderId="95" xfId="4" applyFont="1" applyFill="1" applyBorder="1" applyAlignment="1">
      <alignment horizontal="right"/>
    </xf>
    <xf numFmtId="0" fontId="3" fillId="0" borderId="26" xfId="4" applyFont="1" applyBorder="1" applyAlignment="1">
      <alignment horizontal="right"/>
    </xf>
    <xf numFmtId="0" fontId="5" fillId="0" borderId="56" xfId="4" applyFont="1" applyFill="1" applyBorder="1" applyAlignment="1">
      <alignment horizontal="right"/>
    </xf>
    <xf numFmtId="0" fontId="5" fillId="0" borderId="94" xfId="4" applyFont="1" applyFill="1" applyBorder="1" applyAlignment="1">
      <alignment horizontal="right"/>
    </xf>
    <xf numFmtId="0" fontId="5" fillId="0" borderId="57" xfId="4" applyFont="1" applyFill="1" applyBorder="1" applyAlignment="1">
      <alignment horizontal="right"/>
    </xf>
    <xf numFmtId="0" fontId="5" fillId="0" borderId="58" xfId="4" applyFont="1" applyFill="1" applyBorder="1" applyAlignment="1">
      <alignment horizontal="right"/>
    </xf>
    <xf numFmtId="0" fontId="5" fillId="5" borderId="97" xfId="4" applyFont="1" applyFill="1" applyBorder="1" applyAlignment="1">
      <alignment horizontal="right"/>
    </xf>
    <xf numFmtId="0" fontId="5" fillId="5" borderId="96" xfId="4" applyFont="1" applyFill="1" applyBorder="1" applyAlignment="1">
      <alignment horizontal="right"/>
    </xf>
    <xf numFmtId="0" fontId="5" fillId="5" borderId="98" xfId="4" applyFont="1" applyFill="1" applyBorder="1" applyAlignment="1">
      <alignment horizontal="right"/>
    </xf>
    <xf numFmtId="1" fontId="5" fillId="5" borderId="98" xfId="4" applyNumberFormat="1" applyFont="1" applyFill="1" applyBorder="1" applyAlignment="1">
      <alignment horizontal="right"/>
    </xf>
    <xf numFmtId="0" fontId="5" fillId="5" borderId="99" xfId="4" applyFont="1" applyFill="1" applyBorder="1" applyAlignment="1">
      <alignment horizontal="right"/>
    </xf>
    <xf numFmtId="0" fontId="5" fillId="0" borderId="24" xfId="4" applyFont="1" applyFill="1" applyBorder="1" applyAlignment="1">
      <alignment horizontal="right"/>
    </xf>
    <xf numFmtId="0" fontId="5" fillId="0" borderId="26" xfId="4" applyFont="1" applyFill="1" applyBorder="1" applyAlignment="1">
      <alignment horizontal="right"/>
    </xf>
    <xf numFmtId="1" fontId="5" fillId="0" borderId="24" xfId="4" applyNumberFormat="1" applyFont="1" applyFill="1" applyBorder="1" applyAlignment="1">
      <alignment horizontal="right"/>
    </xf>
    <xf numFmtId="0" fontId="5" fillId="0" borderId="25" xfId="4" applyFont="1" applyFill="1" applyBorder="1" applyAlignment="1">
      <alignment horizontal="right"/>
    </xf>
    <xf numFmtId="0" fontId="5" fillId="0" borderId="55" xfId="4" applyFont="1" applyFill="1" applyBorder="1" applyAlignment="1">
      <alignment horizontal="right"/>
    </xf>
    <xf numFmtId="0" fontId="5" fillId="0" borderId="41" xfId="1" applyFont="1" applyFill="1" applyBorder="1" applyAlignment="1">
      <alignment horizontal="right" vertical="center"/>
    </xf>
    <xf numFmtId="0" fontId="5" fillId="0" borderId="0" xfId="4" applyFont="1" applyFill="1" applyBorder="1" applyAlignment="1">
      <alignment horizontal="right" vertical="center"/>
    </xf>
    <xf numFmtId="0" fontId="3" fillId="0" borderId="20" xfId="1" applyFont="1" applyFill="1" applyBorder="1" applyAlignment="1">
      <alignment horizontal="right" vertical="center"/>
    </xf>
    <xf numFmtId="0" fontId="3" fillId="0" borderId="22" xfId="1" applyFont="1" applyFill="1" applyBorder="1" applyAlignment="1">
      <alignment horizontal="right" vertical="center"/>
    </xf>
    <xf numFmtId="0" fontId="5" fillId="0" borderId="31" xfId="4" applyFont="1" applyFill="1" applyBorder="1" applyAlignment="1">
      <alignment horizontal="right" wrapText="1"/>
    </xf>
    <xf numFmtId="0" fontId="5" fillId="0" borderId="29" xfId="4" applyFont="1" applyFill="1" applyBorder="1" applyAlignment="1">
      <alignment horizontal="right" wrapText="1"/>
    </xf>
    <xf numFmtId="0" fontId="5" fillId="0" borderId="30" xfId="4" applyFont="1" applyFill="1" applyBorder="1" applyAlignment="1">
      <alignment horizontal="right" wrapText="1"/>
    </xf>
    <xf numFmtId="0" fontId="5" fillId="0" borderId="96" xfId="4" applyFont="1" applyFill="1" applyBorder="1" applyAlignment="1"/>
    <xf numFmtId="0" fontId="5" fillId="0" borderId="98" xfId="4" applyFont="1" applyFill="1" applyBorder="1" applyAlignment="1"/>
    <xf numFmtId="1" fontId="5" fillId="0" borderId="98" xfId="4" applyNumberFormat="1" applyFont="1" applyFill="1" applyBorder="1" applyAlignment="1"/>
    <xf numFmtId="0" fontId="5" fillId="0" borderId="99" xfId="4" applyFont="1" applyFill="1" applyBorder="1" applyAlignment="1"/>
    <xf numFmtId="0" fontId="6" fillId="0" borderId="26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right" vertical="center"/>
    </xf>
    <xf numFmtId="0" fontId="6" fillId="0" borderId="33" xfId="1" applyFont="1" applyFill="1" applyBorder="1" applyAlignment="1">
      <alignment horizontal="right" vertical="center"/>
    </xf>
    <xf numFmtId="0" fontId="7" fillId="0" borderId="31" xfId="1" applyFont="1" applyFill="1" applyBorder="1" applyAlignment="1">
      <alignment horizontal="center" vertical="center"/>
    </xf>
    <xf numFmtId="0" fontId="7" fillId="0" borderId="31" xfId="1" applyFont="1" applyFill="1" applyBorder="1" applyAlignment="1">
      <alignment horizontal="right" vertical="center"/>
    </xf>
    <xf numFmtId="0" fontId="7" fillId="0" borderId="32" xfId="1" applyFont="1" applyFill="1" applyBorder="1" applyAlignment="1">
      <alignment horizontal="right" vertical="center"/>
    </xf>
    <xf numFmtId="0" fontId="6" fillId="2" borderId="31" xfId="1" applyFont="1" applyFill="1" applyBorder="1" applyAlignment="1">
      <alignment horizontal="center" vertical="center"/>
    </xf>
    <xf numFmtId="0" fontId="6" fillId="0" borderId="31" xfId="1" applyFont="1" applyFill="1" applyBorder="1" applyAlignment="1">
      <alignment horizontal="right" vertical="center"/>
    </xf>
    <xf numFmtId="0" fontId="6" fillId="0" borderId="31" xfId="1" applyFont="1" applyFill="1" applyBorder="1" applyAlignment="1">
      <alignment horizontal="center" vertical="center"/>
    </xf>
    <xf numFmtId="0" fontId="5" fillId="0" borderId="31" xfId="1" applyFont="1" applyFill="1" applyBorder="1" applyAlignment="1">
      <alignment horizontal="center" vertical="center"/>
    </xf>
    <xf numFmtId="0" fontId="5" fillId="0" borderId="31" xfId="1" applyFont="1" applyFill="1" applyBorder="1" applyAlignment="1">
      <alignment horizontal="right" vertical="center"/>
    </xf>
    <xf numFmtId="0" fontId="5" fillId="0" borderId="32" xfId="1" applyFont="1" applyFill="1" applyBorder="1" applyAlignment="1">
      <alignment horizontal="right" vertical="center"/>
    </xf>
    <xf numFmtId="0" fontId="7" fillId="0" borderId="26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right" vertical="center"/>
    </xf>
    <xf numFmtId="0" fontId="7" fillId="0" borderId="42" xfId="1" applyFont="1" applyFill="1" applyBorder="1" applyAlignment="1">
      <alignment horizontal="right" vertical="center"/>
    </xf>
    <xf numFmtId="0" fontId="1" fillId="0" borderId="0" xfId="1"/>
    <xf numFmtId="0" fontId="27" fillId="0" borderId="0" xfId="4" applyFont="1"/>
    <xf numFmtId="0" fontId="10" fillId="0" borderId="0" xfId="4" applyFont="1" applyFill="1"/>
    <xf numFmtId="0" fontId="11" fillId="0" borderId="0" xfId="4" applyFont="1" applyFill="1"/>
    <xf numFmtId="166" fontId="6" fillId="0" borderId="31" xfId="4" applyNumberFormat="1" applyFont="1" applyFill="1" applyBorder="1" applyAlignment="1">
      <alignment horizontal="centerContinuous"/>
    </xf>
    <xf numFmtId="0" fontId="6" fillId="0" borderId="43" xfId="4" applyFont="1" applyFill="1" applyBorder="1"/>
    <xf numFmtId="0" fontId="6" fillId="0" borderId="0" xfId="4" applyFont="1" applyFill="1" applyBorder="1"/>
    <xf numFmtId="0" fontId="6" fillId="0" borderId="24" xfId="4" applyFont="1" applyFill="1" applyBorder="1"/>
    <xf numFmtId="0" fontId="6" fillId="0" borderId="31" xfId="4" applyFont="1" applyFill="1" applyBorder="1"/>
    <xf numFmtId="166" fontId="6" fillId="0" borderId="31" xfId="4" quotePrefix="1" applyNumberFormat="1" applyFont="1" applyBorder="1" applyAlignment="1">
      <alignment horizontal="right"/>
    </xf>
    <xf numFmtId="0" fontId="6" fillId="0" borderId="14" xfId="4" applyFont="1" applyFill="1" applyBorder="1"/>
    <xf numFmtId="166" fontId="6" fillId="0" borderId="9" xfId="4" applyNumberFormat="1" applyFont="1" applyFill="1" applyBorder="1" applyAlignment="1"/>
    <xf numFmtId="0" fontId="5" fillId="0" borderId="31" xfId="1" applyFont="1" applyFill="1" applyBorder="1" applyAlignment="1">
      <alignment vertical="center"/>
    </xf>
    <xf numFmtId="0" fontId="5" fillId="0" borderId="32" xfId="1" applyFont="1" applyFill="1" applyBorder="1" applyAlignment="1">
      <alignment vertical="center"/>
    </xf>
    <xf numFmtId="0" fontId="5" fillId="0" borderId="31" xfId="3" applyNumberFormat="1" applyFont="1" applyFill="1" applyBorder="1" applyAlignment="1">
      <alignment horizontal="right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20" xfId="1" applyFont="1" applyFill="1" applyBorder="1" applyAlignment="1">
      <alignment horizontal="center" vertical="center"/>
    </xf>
    <xf numFmtId="0" fontId="7" fillId="0" borderId="20" xfId="1" applyFont="1" applyFill="1" applyBorder="1" applyAlignment="1">
      <alignment horizontal="right" vertical="center"/>
    </xf>
    <xf numFmtId="0" fontId="7" fillId="0" borderId="22" xfId="1" applyFont="1" applyFill="1" applyBorder="1" applyAlignment="1">
      <alignment horizontal="right" vertical="center"/>
    </xf>
    <xf numFmtId="0" fontId="6" fillId="0" borderId="9" xfId="1" applyFont="1" applyFill="1" applyBorder="1" applyAlignment="1">
      <alignment horizontal="center" vertical="center"/>
    </xf>
    <xf numFmtId="0" fontId="4" fillId="0" borderId="0" xfId="3" applyFont="1"/>
    <xf numFmtId="0" fontId="2" fillId="0" borderId="0" xfId="3" applyFont="1" applyAlignment="1">
      <alignment horizontal="center"/>
    </xf>
    <xf numFmtId="0" fontId="2" fillId="0" borderId="0" xfId="3" applyFont="1"/>
    <xf numFmtId="0" fontId="18" fillId="0" borderId="0" xfId="3" applyFont="1" applyBorder="1"/>
    <xf numFmtId="0" fontId="18" fillId="0" borderId="0" xfId="3" applyFont="1"/>
    <xf numFmtId="0" fontId="5" fillId="0" borderId="0" xfId="3" applyFont="1" applyAlignment="1">
      <alignment horizontal="center"/>
    </xf>
    <xf numFmtId="0" fontId="5" fillId="0" borderId="0" xfId="3" applyFont="1"/>
    <xf numFmtId="0" fontId="5" fillId="0" borderId="26" xfId="3" applyFont="1" applyFill="1" applyBorder="1" applyAlignment="1">
      <alignment horizontal="center"/>
    </xf>
    <xf numFmtId="0" fontId="5" fillId="0" borderId="31" xfId="3" applyFont="1" applyBorder="1" applyAlignment="1">
      <alignment horizontal="center"/>
    </xf>
    <xf numFmtId="0" fontId="28" fillId="0" borderId="14" xfId="3" applyFont="1" applyFill="1" applyBorder="1"/>
    <xf numFmtId="0" fontId="29" fillId="0" borderId="0" xfId="3" applyFont="1" applyBorder="1"/>
    <xf numFmtId="0" fontId="29" fillId="0" borderId="53" xfId="3" applyFont="1" applyBorder="1"/>
    <xf numFmtId="0" fontId="29" fillId="0" borderId="14" xfId="3" applyFont="1" applyFill="1" applyBorder="1"/>
    <xf numFmtId="0" fontId="29" fillId="5" borderId="31" xfId="3" applyFont="1" applyFill="1" applyBorder="1"/>
    <xf numFmtId="0" fontId="29" fillId="0" borderId="0" xfId="3" applyFont="1" applyBorder="1" applyAlignment="1">
      <alignment horizontal="right"/>
    </xf>
    <xf numFmtId="0" fontId="29" fillId="0" borderId="0" xfId="3" applyFont="1" applyFill="1" applyBorder="1"/>
    <xf numFmtId="0" fontId="29" fillId="0" borderId="0" xfId="3" applyFont="1"/>
    <xf numFmtId="0" fontId="28" fillId="0" borderId="0" xfId="3" applyFont="1" applyBorder="1"/>
    <xf numFmtId="0" fontId="29" fillId="0" borderId="26" xfId="3" applyFont="1" applyFill="1" applyBorder="1" applyAlignment="1">
      <alignment horizontal="center"/>
    </xf>
    <xf numFmtId="0" fontId="29" fillId="0" borderId="31" xfId="3" applyFont="1" applyBorder="1" applyAlignment="1">
      <alignment horizontal="center"/>
    </xf>
    <xf numFmtId="0" fontId="5" fillId="0" borderId="14" xfId="3" applyFont="1" applyFill="1" applyBorder="1"/>
    <xf numFmtId="0" fontId="5" fillId="0" borderId="0" xfId="3" applyFont="1" applyBorder="1"/>
    <xf numFmtId="0" fontId="5" fillId="0" borderId="53" xfId="3" applyFont="1" applyBorder="1"/>
    <xf numFmtId="0" fontId="5" fillId="5" borderId="31" xfId="3" applyFont="1" applyFill="1" applyBorder="1"/>
    <xf numFmtId="0" fontId="5" fillId="0" borderId="0" xfId="3" applyFont="1" applyFill="1"/>
    <xf numFmtId="0" fontId="18" fillId="0" borderId="0" xfId="3" applyFont="1" applyFill="1"/>
    <xf numFmtId="0" fontId="15" fillId="0" borderId="0" xfId="4" applyFont="1" applyAlignment="1">
      <alignment horizontal="center"/>
    </xf>
    <xf numFmtId="0" fontId="18" fillId="0" borderId="0" xfId="4" applyFont="1" applyBorder="1"/>
    <xf numFmtId="0" fontId="5" fillId="0" borderId="0" xfId="4" applyFont="1" applyAlignment="1">
      <alignment horizontal="center"/>
    </xf>
    <xf numFmtId="0" fontId="5" fillId="0" borderId="0" xfId="4" applyFont="1"/>
    <xf numFmtId="0" fontId="6" fillId="5" borderId="26" xfId="4" applyFont="1" applyFill="1" applyBorder="1" applyAlignment="1">
      <alignment horizontal="center" vertical="center"/>
    </xf>
    <xf numFmtId="0" fontId="6" fillId="5" borderId="31" xfId="4" applyFont="1" applyFill="1" applyBorder="1" applyAlignment="1">
      <alignment horizontal="center" vertical="center"/>
    </xf>
    <xf numFmtId="0" fontId="30" fillId="0" borderId="14" xfId="4" applyFont="1" applyFill="1" applyBorder="1"/>
    <xf numFmtId="0" fontId="18" fillId="0" borderId="45" xfId="4" applyFont="1" applyBorder="1"/>
    <xf numFmtId="0" fontId="18" fillId="0" borderId="14" xfId="4" applyFont="1" applyFill="1" applyBorder="1"/>
    <xf numFmtId="0" fontId="18" fillId="0" borderId="53" xfId="4" applyFont="1" applyBorder="1"/>
    <xf numFmtId="0" fontId="18" fillId="0" borderId="12" xfId="4" applyFont="1" applyFill="1" applyBorder="1"/>
    <xf numFmtId="0" fontId="18" fillId="0" borderId="25" xfId="4" applyFont="1" applyBorder="1"/>
    <xf numFmtId="0" fontId="18" fillId="5" borderId="31" xfId="4" applyFont="1" applyFill="1" applyBorder="1"/>
    <xf numFmtId="0" fontId="18" fillId="0" borderId="26" xfId="4" applyFont="1" applyFill="1" applyBorder="1" applyAlignment="1">
      <alignment horizontal="center"/>
    </xf>
    <xf numFmtId="0" fontId="18" fillId="0" borderId="31" xfId="4" applyFont="1" applyBorder="1" applyAlignment="1">
      <alignment horizontal="center"/>
    </xf>
    <xf numFmtId="0" fontId="18" fillId="0" borderId="0" xfId="4" applyFont="1" applyAlignment="1">
      <alignment horizontal="center"/>
    </xf>
    <xf numFmtId="0" fontId="31" fillId="5" borderId="31" xfId="4" applyFont="1" applyFill="1" applyBorder="1"/>
    <xf numFmtId="0" fontId="32" fillId="0" borderId="0" xfId="4" applyFont="1"/>
    <xf numFmtId="0" fontId="18" fillId="0" borderId="0" xfId="4" applyFont="1" applyFill="1"/>
    <xf numFmtId="0" fontId="30" fillId="0" borderId="11" xfId="4" applyFont="1" applyFill="1" applyBorder="1"/>
    <xf numFmtId="0" fontId="18" fillId="0" borderId="43" xfId="4" applyFont="1" applyBorder="1"/>
    <xf numFmtId="0" fontId="18" fillId="0" borderId="0" xfId="4" applyFont="1" applyFill="1" applyBorder="1"/>
    <xf numFmtId="0" fontId="2" fillId="0" borderId="0" xfId="4" applyFont="1" applyBorder="1"/>
    <xf numFmtId="0" fontId="18" fillId="0" borderId="52" xfId="4" applyFont="1" applyFill="1" applyBorder="1" applyAlignment="1">
      <alignment horizontal="center"/>
    </xf>
    <xf numFmtId="0" fontId="18" fillId="0" borderId="30" xfId="4" applyFont="1" applyBorder="1" applyAlignment="1">
      <alignment horizontal="center"/>
    </xf>
    <xf numFmtId="0" fontId="27" fillId="5" borderId="31" xfId="4" applyFont="1" applyFill="1" applyBorder="1"/>
    <xf numFmtId="0" fontId="2" fillId="0" borderId="0" xfId="4" applyFont="1" applyFill="1" applyAlignment="1">
      <alignment horizontal="center"/>
    </xf>
    <xf numFmtId="0" fontId="2" fillId="0" borderId="0" xfId="4" applyFont="1" applyAlignment="1"/>
    <xf numFmtId="0" fontId="4" fillId="0" borderId="0" xfId="4" applyFont="1" applyFill="1"/>
    <xf numFmtId="0" fontId="4" fillId="0" borderId="0" xfId="4" applyFont="1" applyFill="1" applyBorder="1"/>
    <xf numFmtId="0" fontId="18" fillId="0" borderId="31" xfId="4" applyFont="1" applyFill="1" applyBorder="1" applyAlignment="1">
      <alignment horizontal="center"/>
    </xf>
    <xf numFmtId="0" fontId="18" fillId="0" borderId="0" xfId="4" applyFont="1" applyBorder="1" applyAlignment="1">
      <alignment horizontal="right"/>
    </xf>
    <xf numFmtId="0" fontId="25" fillId="0" borderId="45" xfId="4" applyFont="1" applyBorder="1"/>
    <xf numFmtId="0" fontId="25" fillId="0" borderId="14" xfId="4" applyFont="1" applyBorder="1"/>
    <xf numFmtId="0" fontId="25" fillId="0" borderId="53" xfId="4" applyFont="1" applyBorder="1"/>
    <xf numFmtId="0" fontId="25" fillId="0" borderId="12" xfId="4" applyFont="1" applyBorder="1"/>
    <xf numFmtId="0" fontId="25" fillId="0" borderId="25" xfId="4" applyFont="1" applyBorder="1"/>
    <xf numFmtId="0" fontId="25" fillId="0" borderId="0" xfId="4" applyFont="1" applyFill="1"/>
    <xf numFmtId="0" fontId="25" fillId="5" borderId="31" xfId="4" applyFont="1" applyFill="1" applyBorder="1"/>
    <xf numFmtId="0" fontId="27" fillId="0" borderId="14" xfId="4" applyFont="1" applyFill="1" applyBorder="1"/>
    <xf numFmtId="0" fontId="25" fillId="0" borderId="0" xfId="4" applyFont="1" applyFill="1" applyBorder="1"/>
    <xf numFmtId="0" fontId="25" fillId="0" borderId="0" xfId="4" applyFont="1" applyBorder="1"/>
    <xf numFmtId="0" fontId="25" fillId="0" borderId="14" xfId="4" applyFont="1" applyFill="1" applyBorder="1"/>
    <xf numFmtId="0" fontId="27" fillId="0" borderId="11" xfId="4" applyFont="1" applyBorder="1"/>
    <xf numFmtId="0" fontId="25" fillId="0" borderId="12" xfId="4" applyFont="1" applyFill="1" applyBorder="1"/>
    <xf numFmtId="0" fontId="18" fillId="0" borderId="9" xfId="4" applyFont="1" applyFill="1" applyBorder="1" applyAlignment="1">
      <alignment horizontal="center"/>
    </xf>
    <xf numFmtId="0" fontId="25" fillId="0" borderId="43" xfId="4" applyFont="1" applyBorder="1"/>
    <xf numFmtId="0" fontId="25" fillId="0" borderId="43" xfId="4" applyFont="1" applyFill="1" applyBorder="1"/>
    <xf numFmtId="0" fontId="25" fillId="0" borderId="25" xfId="4" applyFont="1" applyFill="1" applyBorder="1"/>
    <xf numFmtId="0" fontId="18" fillId="0" borderId="53" xfId="4" applyFont="1" applyFill="1" applyBorder="1"/>
    <xf numFmtId="0" fontId="5" fillId="0" borderId="0" xfId="4" applyFont="1" applyFill="1" applyBorder="1" applyAlignment="1">
      <alignment vertical="center"/>
    </xf>
    <xf numFmtId="0" fontId="18" fillId="5" borderId="52" xfId="4" applyFont="1" applyFill="1" applyBorder="1"/>
    <xf numFmtId="0" fontId="18" fillId="5" borderId="30" xfId="4" applyFont="1" applyFill="1" applyBorder="1"/>
    <xf numFmtId="0" fontId="18" fillId="0" borderId="7" xfId="4" applyFont="1" applyBorder="1"/>
    <xf numFmtId="0" fontId="18" fillId="0" borderId="102" xfId="4" applyFont="1" applyBorder="1"/>
    <xf numFmtId="0" fontId="18" fillId="0" borderId="13" xfId="4" applyFont="1" applyBorder="1"/>
    <xf numFmtId="0" fontId="18" fillId="5" borderId="29" xfId="4" applyFont="1" applyFill="1" applyBorder="1"/>
    <xf numFmtId="0" fontId="18" fillId="0" borderId="31" xfId="4" applyFont="1" applyFill="1" applyBorder="1"/>
    <xf numFmtId="0" fontId="18" fillId="0" borderId="31" xfId="4" applyFont="1" applyBorder="1"/>
    <xf numFmtId="0" fontId="18" fillId="0" borderId="14" xfId="4" applyFont="1" applyBorder="1"/>
    <xf numFmtId="0" fontId="3" fillId="0" borderId="0" xfId="4" applyFont="1" applyFill="1" applyBorder="1"/>
    <xf numFmtId="0" fontId="5" fillId="0" borderId="0" xfId="4" applyFont="1" applyFill="1" applyBorder="1"/>
    <xf numFmtId="0" fontId="18" fillId="0" borderId="43" xfId="4" applyFont="1" applyFill="1" applyBorder="1"/>
    <xf numFmtId="0" fontId="18" fillId="6" borderId="14" xfId="4" applyFont="1" applyFill="1" applyBorder="1"/>
    <xf numFmtId="0" fontId="30" fillId="0" borderId="9" xfId="4" applyFont="1" applyFill="1" applyBorder="1"/>
    <xf numFmtId="0" fontId="30" fillId="0" borderId="10" xfId="4" applyFont="1" applyFill="1" applyBorder="1"/>
    <xf numFmtId="0" fontId="30" fillId="0" borderId="26" xfId="4" applyFont="1" applyFill="1" applyBorder="1"/>
    <xf numFmtId="0" fontId="18" fillId="0" borderId="11" xfId="4" applyFont="1" applyBorder="1"/>
    <xf numFmtId="0" fontId="7" fillId="0" borderId="49" xfId="1" applyFont="1" applyFill="1" applyBorder="1" applyAlignment="1">
      <alignment horizontal="center" vertical="center"/>
    </xf>
    <xf numFmtId="0" fontId="7" fillId="0" borderId="35" xfId="1" applyFont="1" applyFill="1" applyBorder="1" applyAlignment="1">
      <alignment horizontal="right" vertical="center"/>
    </xf>
    <xf numFmtId="0" fontId="7" fillId="0" borderId="37" xfId="1" applyFont="1" applyFill="1" applyBorder="1" applyAlignment="1">
      <alignment horizontal="right" vertical="center"/>
    </xf>
    <xf numFmtId="0" fontId="7" fillId="0" borderId="35" xfId="1" applyFont="1" applyFill="1" applyBorder="1" applyAlignment="1">
      <alignment vertical="center"/>
    </xf>
    <xf numFmtId="0" fontId="7" fillId="0" borderId="38" xfId="1" applyFont="1" applyFill="1" applyBorder="1" applyAlignment="1">
      <alignment vertical="center"/>
    </xf>
    <xf numFmtId="0" fontId="7" fillId="0" borderId="43" xfId="1" applyFont="1" applyFill="1" applyBorder="1" applyAlignment="1">
      <alignment horizontal="right" vertical="center"/>
    </xf>
    <xf numFmtId="0" fontId="7" fillId="0" borderId="10" xfId="1" applyFont="1" applyFill="1" applyBorder="1" applyAlignment="1">
      <alignment horizontal="right" vertical="center"/>
    </xf>
    <xf numFmtId="0" fontId="7" fillId="0" borderId="43" xfId="1" applyFont="1" applyFill="1" applyBorder="1" applyAlignment="1">
      <alignment vertical="center"/>
    </xf>
    <xf numFmtId="0" fontId="7" fillId="0" borderId="15" xfId="1" applyFont="1" applyFill="1" applyBorder="1" applyAlignment="1">
      <alignment vertical="center"/>
    </xf>
    <xf numFmtId="0" fontId="7" fillId="0" borderId="41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right" vertical="center" wrapText="1"/>
    </xf>
    <xf numFmtId="0" fontId="7" fillId="0" borderId="41" xfId="1" applyFont="1" applyFill="1" applyBorder="1" applyAlignment="1">
      <alignment horizontal="right" vertical="center" wrapText="1"/>
    </xf>
    <xf numFmtId="0" fontId="7" fillId="0" borderId="42" xfId="1" applyFont="1" applyBorder="1" applyAlignment="1">
      <alignment horizontal="right" vertical="center" wrapText="1"/>
    </xf>
    <xf numFmtId="0" fontId="2" fillId="0" borderId="0" xfId="4" applyFont="1" applyBorder="1" applyAlignment="1">
      <alignment horizontal="center"/>
    </xf>
    <xf numFmtId="0" fontId="30" fillId="0" borderId="14" xfId="4" applyFont="1" applyBorder="1"/>
    <xf numFmtId="0" fontId="30" fillId="0" borderId="10" xfId="4" applyFont="1" applyFill="1" applyBorder="1" applyAlignment="1">
      <alignment horizontal="center"/>
    </xf>
    <xf numFmtId="0" fontId="18" fillId="0" borderId="45" xfId="4" applyFont="1" applyBorder="1" applyAlignment="1">
      <alignment horizontal="center"/>
    </xf>
    <xf numFmtId="0" fontId="18" fillId="0" borderId="10" xfId="4" applyFont="1" applyBorder="1" applyAlignment="1">
      <alignment horizontal="center"/>
    </xf>
    <xf numFmtId="0" fontId="30" fillId="0" borderId="9" xfId="4" applyFont="1" applyFill="1" applyBorder="1" applyAlignment="1">
      <alignment horizontal="center"/>
    </xf>
    <xf numFmtId="0" fontId="18" fillId="0" borderId="53" xfId="4" applyFont="1" applyBorder="1" applyAlignment="1">
      <alignment horizontal="center"/>
    </xf>
    <xf numFmtId="0" fontId="18" fillId="0" borderId="9" xfId="4" applyFont="1" applyBorder="1" applyAlignment="1">
      <alignment horizontal="center"/>
    </xf>
    <xf numFmtId="0" fontId="18" fillId="0" borderId="9" xfId="4" applyFont="1" applyFill="1" applyBorder="1"/>
    <xf numFmtId="0" fontId="18" fillId="0" borderId="11" xfId="4" applyFont="1" applyBorder="1" applyAlignment="1">
      <alignment horizontal="center"/>
    </xf>
    <xf numFmtId="0" fontId="18" fillId="0" borderId="26" xfId="4" applyFont="1" applyFill="1" applyBorder="1"/>
    <xf numFmtId="0" fontId="18" fillId="0" borderId="26" xfId="4" applyFont="1" applyBorder="1" applyAlignment="1">
      <alignment horizontal="center"/>
    </xf>
    <xf numFmtId="0" fontId="18" fillId="0" borderId="14" xfId="4" applyFont="1" applyBorder="1" applyAlignment="1">
      <alignment horizontal="center"/>
    </xf>
    <xf numFmtId="0" fontId="30" fillId="5" borderId="31" xfId="4" applyFont="1" applyFill="1" applyBorder="1"/>
    <xf numFmtId="0" fontId="15" fillId="0" borderId="0" xfId="4" applyFont="1" applyAlignment="1">
      <alignment horizontal="center" wrapText="1"/>
    </xf>
    <xf numFmtId="0" fontId="6" fillId="0" borderId="10" xfId="1" applyFont="1" applyFill="1" applyBorder="1" applyAlignment="1">
      <alignment horizontal="center" vertical="center"/>
    </xf>
    <xf numFmtId="0" fontId="6" fillId="0" borderId="43" xfId="1" applyFont="1" applyFill="1" applyBorder="1" applyAlignment="1">
      <alignment horizontal="right" vertical="center"/>
    </xf>
    <xf numFmtId="0" fontId="5" fillId="0" borderId="43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6" fillId="0" borderId="10" xfId="1" applyFont="1" applyFill="1" applyBorder="1" applyAlignment="1">
      <alignment horizontal="right" vertical="center"/>
    </xf>
    <xf numFmtId="0" fontId="6" fillId="0" borderId="43" xfId="1" applyFont="1" applyFill="1" applyBorder="1" applyAlignment="1">
      <alignment vertical="center"/>
    </xf>
    <xf numFmtId="0" fontId="6" fillId="0" borderId="15" xfId="1" applyFont="1" applyFill="1" applyBorder="1" applyAlignment="1">
      <alignment vertical="center"/>
    </xf>
    <xf numFmtId="0" fontId="5" fillId="0" borderId="35" xfId="1" applyFont="1" applyFill="1" applyBorder="1" applyAlignment="1">
      <alignment horizontal="right" vertical="center"/>
    </xf>
    <xf numFmtId="0" fontId="5" fillId="0" borderId="37" xfId="1" applyFont="1" applyFill="1" applyBorder="1" applyAlignment="1">
      <alignment horizontal="center" vertical="center"/>
    </xf>
    <xf numFmtId="0" fontId="5" fillId="0" borderId="37" xfId="1" applyFont="1" applyFill="1" applyBorder="1" applyAlignment="1">
      <alignment horizontal="right" vertical="center"/>
    </xf>
    <xf numFmtId="0" fontId="5" fillId="0" borderId="35" xfId="1" applyFont="1" applyFill="1" applyBorder="1" applyAlignment="1">
      <alignment vertical="center"/>
    </xf>
    <xf numFmtId="0" fontId="5" fillId="0" borderId="38" xfId="1" applyFont="1" applyFill="1" applyBorder="1" applyAlignment="1">
      <alignment vertical="center"/>
    </xf>
    <xf numFmtId="0" fontId="7" fillId="0" borderId="51" xfId="1" applyFont="1" applyFill="1" applyBorder="1" applyAlignment="1">
      <alignment horizontal="right" vertical="center"/>
    </xf>
    <xf numFmtId="0" fontId="6" fillId="0" borderId="24" xfId="1" applyFont="1" applyFill="1" applyBorder="1" applyAlignment="1">
      <alignment horizontal="right" vertical="center"/>
    </xf>
    <xf numFmtId="0" fontId="6" fillId="0" borderId="24" xfId="1" applyFont="1" applyFill="1" applyBorder="1" applyAlignment="1">
      <alignment vertical="center"/>
    </xf>
    <xf numFmtId="0" fontId="6" fillId="0" borderId="33" xfId="1" applyFont="1" applyFill="1" applyBorder="1" applyAlignment="1">
      <alignment vertical="center"/>
    </xf>
    <xf numFmtId="0" fontId="6" fillId="0" borderId="29" xfId="1" applyFont="1" applyFill="1" applyBorder="1" applyAlignment="1">
      <alignment horizontal="right" vertical="center"/>
    </xf>
    <xf numFmtId="0" fontId="5" fillId="0" borderId="29" xfId="1" applyFont="1" applyFill="1" applyBorder="1" applyAlignment="1">
      <alignment vertical="center"/>
    </xf>
    <xf numFmtId="0" fontId="5" fillId="0" borderId="41" xfId="1" applyFont="1" applyFill="1" applyBorder="1" applyAlignment="1">
      <alignment vertical="center"/>
    </xf>
    <xf numFmtId="0" fontId="5" fillId="0" borderId="42" xfId="1" applyFont="1" applyFill="1" applyBorder="1" applyAlignment="1">
      <alignment vertical="center"/>
    </xf>
    <xf numFmtId="0" fontId="5" fillId="0" borderId="26" xfId="1" applyFont="1" applyFill="1" applyBorder="1" applyAlignment="1">
      <alignment horizontal="right" vertical="center"/>
    </xf>
    <xf numFmtId="0" fontId="7" fillId="3" borderId="20" xfId="1" applyFont="1" applyFill="1" applyBorder="1" applyAlignment="1">
      <alignment horizontal="right" vertical="center"/>
    </xf>
    <xf numFmtId="0" fontId="7" fillId="3" borderId="22" xfId="1" applyFont="1" applyFill="1" applyBorder="1" applyAlignment="1">
      <alignment horizontal="right" vertical="center"/>
    </xf>
    <xf numFmtId="0" fontId="18" fillId="0" borderId="24" xfId="4" applyFont="1" applyBorder="1"/>
    <xf numFmtId="0" fontId="5" fillId="0" borderId="26" xfId="1" applyFont="1" applyFill="1" applyBorder="1" applyAlignment="1">
      <alignment horizontal="center" vertical="center"/>
    </xf>
    <xf numFmtId="0" fontId="5" fillId="0" borderId="33" xfId="1" applyFont="1" applyFill="1" applyBorder="1" applyAlignment="1">
      <alignment horizontal="right" vertical="center"/>
    </xf>
    <xf numFmtId="0" fontId="5" fillId="0" borderId="38" xfId="1" applyFont="1" applyFill="1" applyBorder="1" applyAlignment="1">
      <alignment horizontal="right" vertical="center"/>
    </xf>
    <xf numFmtId="0" fontId="18" fillId="5" borderId="26" xfId="4" applyFont="1" applyFill="1" applyBorder="1"/>
    <xf numFmtId="0" fontId="33" fillId="0" borderId="12" xfId="0" applyFont="1" applyBorder="1"/>
    <xf numFmtId="0" fontId="33" fillId="0" borderId="14" xfId="0" applyFont="1" applyBorder="1"/>
    <xf numFmtId="0" fontId="33" fillId="0" borderId="0" xfId="0" applyFont="1" applyBorder="1"/>
    <xf numFmtId="0" fontId="3" fillId="0" borderId="20" xfId="1" applyNumberFormat="1" applyFont="1" applyFill="1" applyBorder="1" applyAlignment="1">
      <alignment horizontal="right" vertical="center"/>
    </xf>
    <xf numFmtId="0" fontId="3" fillId="0" borderId="22" xfId="1" applyNumberFormat="1" applyFont="1" applyFill="1" applyBorder="1" applyAlignment="1">
      <alignment horizontal="right" vertical="center"/>
    </xf>
    <xf numFmtId="0" fontId="7" fillId="0" borderId="41" xfId="1" applyFont="1" applyFill="1" applyBorder="1" applyAlignment="1">
      <alignment vertical="center" wrapText="1"/>
    </xf>
    <xf numFmtId="0" fontId="1" fillId="0" borderId="0" xfId="1"/>
    <xf numFmtId="0" fontId="6" fillId="0" borderId="25" xfId="4" applyFont="1" applyBorder="1" applyAlignment="1">
      <alignment horizontal="right"/>
    </xf>
    <xf numFmtId="0" fontId="10" fillId="0" borderId="0" xfId="4" applyFont="1" applyAlignment="1"/>
    <xf numFmtId="0" fontId="1" fillId="0" borderId="0" xfId="1" applyAlignment="1"/>
    <xf numFmtId="0" fontId="28" fillId="0" borderId="0" xfId="3" applyFont="1" applyBorder="1" applyAlignment="1">
      <alignment horizontal="center"/>
    </xf>
    <xf numFmtId="0" fontId="2" fillId="0" borderId="0" xfId="4" applyFont="1" applyBorder="1" applyAlignment="1">
      <alignment horizontal="center"/>
    </xf>
    <xf numFmtId="0" fontId="7" fillId="0" borderId="103" xfId="1" applyFont="1" applyBorder="1"/>
    <xf numFmtId="0" fontId="7" fillId="0" borderId="115" xfId="1" applyFont="1" applyBorder="1"/>
    <xf numFmtId="0" fontId="7" fillId="0" borderId="110" xfId="3" applyFont="1" applyFill="1" applyBorder="1"/>
    <xf numFmtId="0" fontId="6" fillId="6" borderId="106" xfId="3" applyFont="1" applyFill="1" applyBorder="1" applyAlignment="1">
      <alignment horizontal="left"/>
    </xf>
    <xf numFmtId="0" fontId="7" fillId="5" borderId="14" xfId="3" applyFont="1" applyFill="1" applyBorder="1"/>
    <xf numFmtId="0" fontId="7" fillId="0" borderId="110" xfId="1" applyFont="1" applyBorder="1"/>
    <xf numFmtId="0" fontId="6" fillId="6" borderId="120" xfId="3" applyFont="1" applyFill="1" applyBorder="1" applyAlignment="1">
      <alignment horizontal="left"/>
    </xf>
    <xf numFmtId="0" fontId="7" fillId="5" borderId="111" xfId="3" applyFont="1" applyFill="1" applyBorder="1" applyAlignment="1">
      <alignment horizontal="left"/>
    </xf>
    <xf numFmtId="0" fontId="7" fillId="5" borderId="121" xfId="3" applyFont="1" applyFill="1" applyBorder="1"/>
    <xf numFmtId="0" fontId="6" fillId="6" borderId="121" xfId="3" applyFont="1" applyFill="1" applyBorder="1"/>
    <xf numFmtId="0" fontId="6" fillId="6" borderId="112" xfId="3" applyFont="1" applyFill="1" applyBorder="1" applyAlignment="1">
      <alignment horizontal="left"/>
    </xf>
    <xf numFmtId="0" fontId="8" fillId="0" borderId="0" xfId="3" applyFont="1"/>
    <xf numFmtId="0" fontId="7" fillId="0" borderId="11" xfId="3" applyFont="1" applyFill="1" applyBorder="1"/>
    <xf numFmtId="0" fontId="1" fillId="0" borderId="0" xfId="3" applyFont="1"/>
    <xf numFmtId="0" fontId="7" fillId="0" borderId="0" xfId="3" applyFont="1" applyFill="1"/>
    <xf numFmtId="0" fontId="1" fillId="0" borderId="0" xfId="1"/>
    <xf numFmtId="0" fontId="18" fillId="0" borderId="11" xfId="4" applyFont="1" applyBorder="1" applyAlignment="1">
      <alignment horizontal="center"/>
    </xf>
    <xf numFmtId="0" fontId="18" fillId="0" borderId="45" xfId="4" applyFont="1" applyBorder="1" applyAlignment="1">
      <alignment horizontal="center"/>
    </xf>
    <xf numFmtId="0" fontId="5" fillId="5" borderId="6" xfId="4" applyFont="1" applyFill="1" applyBorder="1" applyAlignment="1">
      <alignment wrapText="1"/>
    </xf>
    <xf numFmtId="0" fontId="1" fillId="0" borderId="0" xfId="1"/>
    <xf numFmtId="0" fontId="7" fillId="0" borderId="24" xfId="1" applyFont="1" applyFill="1" applyBorder="1" applyAlignment="1">
      <alignment horizontal="left" vertical="center"/>
    </xf>
    <xf numFmtId="0" fontId="7" fillId="0" borderId="25" xfId="1" applyFont="1" applyFill="1" applyBorder="1" applyAlignment="1">
      <alignment horizontal="left" vertical="center"/>
    </xf>
    <xf numFmtId="0" fontId="7" fillId="0" borderId="17" xfId="1" applyFont="1" applyFill="1" applyBorder="1" applyAlignment="1">
      <alignment vertical="center"/>
    </xf>
    <xf numFmtId="0" fontId="7" fillId="0" borderId="18" xfId="1" applyFont="1" applyFill="1" applyBorder="1" applyAlignment="1">
      <alignment vertical="center"/>
    </xf>
    <xf numFmtId="0" fontId="7" fillId="0" borderId="15" xfId="1" applyFont="1" applyFill="1" applyBorder="1" applyAlignment="1">
      <alignment horizontal="right" vertical="center"/>
    </xf>
    <xf numFmtId="0" fontId="3" fillId="0" borderId="20" xfId="1" applyFont="1" applyFill="1" applyBorder="1" applyAlignment="1">
      <alignment horizontal="center" vertical="center"/>
    </xf>
    <xf numFmtId="0" fontId="3" fillId="0" borderId="20" xfId="1" applyNumberFormat="1" applyFont="1" applyFill="1" applyBorder="1" applyAlignment="1">
      <alignment horizontal="center" vertical="center"/>
    </xf>
    <xf numFmtId="0" fontId="5" fillId="0" borderId="26" xfId="1" applyNumberFormat="1" applyFont="1" applyFill="1" applyBorder="1" applyAlignment="1">
      <alignment horizontal="center" vertical="center"/>
    </xf>
    <xf numFmtId="0" fontId="5" fillId="0" borderId="31" xfId="1" applyNumberFormat="1" applyFont="1" applyFill="1" applyBorder="1" applyAlignment="1">
      <alignment horizontal="center" vertical="center"/>
    </xf>
    <xf numFmtId="0" fontId="5" fillId="0" borderId="10" xfId="1" applyNumberFormat="1" applyFont="1" applyFill="1" applyBorder="1" applyAlignment="1">
      <alignment horizontal="center" vertical="center"/>
    </xf>
    <xf numFmtId="0" fontId="3" fillId="0" borderId="31" xfId="1" applyNumberFormat="1" applyFont="1" applyFill="1" applyBorder="1" applyAlignment="1">
      <alignment horizontal="center" vertical="center"/>
    </xf>
    <xf numFmtId="0" fontId="5" fillId="0" borderId="37" xfId="1" applyNumberFormat="1" applyFont="1" applyFill="1" applyBorder="1" applyAlignment="1">
      <alignment horizontal="center" vertical="center"/>
    </xf>
    <xf numFmtId="0" fontId="5" fillId="0" borderId="41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30" fillId="5" borderId="12" xfId="4" applyFont="1" applyFill="1" applyBorder="1"/>
    <xf numFmtId="0" fontId="18" fillId="5" borderId="24" xfId="4" applyFont="1" applyFill="1" applyBorder="1"/>
    <xf numFmtId="0" fontId="18" fillId="5" borderId="25" xfId="4" applyFont="1" applyFill="1" applyBorder="1"/>
    <xf numFmtId="0" fontId="6" fillId="5" borderId="26" xfId="4" applyFont="1" applyFill="1" applyBorder="1" applyAlignment="1">
      <alignment horizontal="center" vertical="center"/>
    </xf>
    <xf numFmtId="0" fontId="27" fillId="0" borderId="26" xfId="1" applyFont="1" applyBorder="1"/>
    <xf numFmtId="0" fontId="18" fillId="6" borderId="123" xfId="4" applyFont="1" applyFill="1" applyBorder="1"/>
    <xf numFmtId="0" fontId="27" fillId="0" borderId="9" xfId="1" applyFont="1" applyBorder="1"/>
    <xf numFmtId="0" fontId="7" fillId="5" borderId="31" xfId="1" applyNumberFormat="1" applyFont="1" applyFill="1" applyBorder="1" applyAlignment="1">
      <alignment horizontal="center" vertical="center"/>
    </xf>
    <xf numFmtId="0" fontId="6" fillId="0" borderId="0" xfId="2" applyNumberFormat="1" applyFont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6" fillId="0" borderId="108" xfId="0" applyNumberFormat="1" applyFont="1" applyBorder="1" applyAlignment="1">
      <alignment horizontal="center"/>
    </xf>
    <xf numFmtId="0" fontId="6" fillId="0" borderId="122" xfId="0" applyNumberFormat="1" applyFont="1" applyBorder="1" applyAlignment="1">
      <alignment horizontal="center"/>
    </xf>
    <xf numFmtId="0" fontId="6" fillId="0" borderId="118" xfId="0" applyNumberFormat="1" applyFont="1" applyBorder="1" applyAlignment="1">
      <alignment horizontal="center"/>
    </xf>
    <xf numFmtId="0" fontId="6" fillId="0" borderId="107" xfId="0" applyNumberFormat="1" applyFont="1" applyBorder="1" applyAlignment="1">
      <alignment horizontal="center"/>
    </xf>
    <xf numFmtId="0" fontId="6" fillId="0" borderId="105" xfId="1" applyFont="1" applyBorder="1" applyAlignment="1">
      <alignment horizontal="center"/>
    </xf>
    <xf numFmtId="0" fontId="6" fillId="0" borderId="114" xfId="1" applyFont="1" applyBorder="1" applyAlignment="1">
      <alignment horizontal="center"/>
    </xf>
    <xf numFmtId="0" fontId="6" fillId="0" borderId="104" xfId="1" applyFont="1" applyBorder="1" applyAlignment="1">
      <alignment horizontal="center"/>
    </xf>
    <xf numFmtId="0" fontId="6" fillId="0" borderId="111" xfId="1" applyFont="1" applyBorder="1" applyAlignment="1">
      <alignment horizontal="center"/>
    </xf>
    <xf numFmtId="0" fontId="6" fillId="0" borderId="108" xfId="1" applyFont="1" applyBorder="1" applyAlignment="1">
      <alignment horizontal="center"/>
    </xf>
    <xf numFmtId="0" fontId="6" fillId="0" borderId="117" xfId="1" applyFont="1" applyBorder="1" applyAlignment="1">
      <alignment horizontal="center"/>
    </xf>
    <xf numFmtId="0" fontId="6" fillId="0" borderId="122" xfId="1" applyFont="1" applyBorder="1" applyAlignment="1">
      <alignment horizontal="center"/>
    </xf>
    <xf numFmtId="0" fontId="6" fillId="0" borderId="119" xfId="1" applyFont="1" applyBorder="1" applyAlignment="1">
      <alignment horizontal="center"/>
    </xf>
    <xf numFmtId="0" fontId="6" fillId="0" borderId="118" xfId="1" applyFont="1" applyBorder="1" applyAlignment="1">
      <alignment horizontal="center"/>
    </xf>
    <xf numFmtId="0" fontId="6" fillId="0" borderId="113" xfId="1" applyFont="1" applyBorder="1" applyAlignment="1">
      <alignment horizontal="center"/>
    </xf>
    <xf numFmtId="0" fontId="6" fillId="0" borderId="107" xfId="1" applyFont="1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9" fillId="0" borderId="45" xfId="3" applyBorder="1"/>
    <xf numFmtId="0" fontId="6" fillId="0" borderId="25" xfId="3" applyFont="1" applyFill="1" applyBorder="1" applyAlignment="1">
      <alignment horizontal="center"/>
    </xf>
    <xf numFmtId="0" fontId="5" fillId="0" borderId="52" xfId="5" applyFont="1" applyFill="1" applyBorder="1" applyAlignment="1">
      <alignment horizontal="right" vertical="center"/>
    </xf>
    <xf numFmtId="0" fontId="5" fillId="0" borderId="31" xfId="5" applyFont="1" applyFill="1" applyBorder="1" applyAlignment="1">
      <alignment horizontal="right" vertical="center" wrapText="1"/>
    </xf>
    <xf numFmtId="3" fontId="5" fillId="0" borderId="31" xfId="5" applyNumberFormat="1" applyFont="1" applyFill="1" applyBorder="1" applyAlignment="1">
      <alignment horizontal="right" vertical="center" wrapText="1"/>
    </xf>
    <xf numFmtId="3" fontId="5" fillId="0" borderId="31" xfId="5" applyNumberFormat="1" applyFont="1" applyFill="1" applyBorder="1" applyAlignment="1">
      <alignment horizontal="right" vertical="center"/>
    </xf>
    <xf numFmtId="0" fontId="5" fillId="0" borderId="30" xfId="5" applyFont="1" applyFill="1" applyBorder="1" applyAlignment="1">
      <alignment horizontal="right" vertical="center"/>
    </xf>
    <xf numFmtId="0" fontId="5" fillId="0" borderId="100" xfId="5" applyFont="1" applyFill="1" applyBorder="1" applyAlignment="1">
      <alignment horizontal="right" vertical="center"/>
    </xf>
    <xf numFmtId="0" fontId="5" fillId="0" borderId="12" xfId="5" applyFont="1" applyFill="1" applyBorder="1" applyAlignment="1">
      <alignment horizontal="right" vertical="center"/>
    </xf>
    <xf numFmtId="1" fontId="5" fillId="0" borderId="24" xfId="5" applyNumberFormat="1" applyFont="1" applyFill="1" applyBorder="1" applyAlignment="1">
      <alignment horizontal="right" vertical="center"/>
    </xf>
    <xf numFmtId="0" fontId="5" fillId="0" borderId="26" xfId="5" applyFont="1" applyFill="1" applyBorder="1" applyAlignment="1">
      <alignment horizontal="right" vertical="center"/>
    </xf>
    <xf numFmtId="0" fontId="5" fillId="0" borderId="101" xfId="5" applyFont="1" applyFill="1" applyBorder="1" applyAlignment="1">
      <alignment horizontal="right" vertical="center"/>
    </xf>
    <xf numFmtId="0" fontId="5" fillId="0" borderId="15" xfId="1" applyNumberFormat="1" applyFont="1" applyFill="1" applyBorder="1" applyAlignment="1">
      <alignment horizontal="right" vertical="center"/>
    </xf>
    <xf numFmtId="0" fontId="5" fillId="0" borderId="31" xfId="6" applyFont="1" applyFill="1" applyBorder="1" applyAlignment="1">
      <alignment horizontal="right"/>
    </xf>
    <xf numFmtId="0" fontId="5" fillId="0" borderId="29" xfId="6" applyFont="1" applyFill="1" applyBorder="1" applyAlignment="1">
      <alignment horizontal="right"/>
    </xf>
    <xf numFmtId="0" fontId="5" fillId="0" borderId="32" xfId="6" applyFont="1" applyFill="1" applyBorder="1" applyAlignment="1">
      <alignment horizontal="right"/>
    </xf>
    <xf numFmtId="0" fontId="5" fillId="0" borderId="14" xfId="6" applyFont="1" applyFill="1" applyBorder="1" applyAlignment="1">
      <alignment horizontal="right"/>
    </xf>
    <xf numFmtId="0" fontId="5" fillId="0" borderId="62" xfId="6" applyFont="1" applyFill="1" applyBorder="1" applyAlignment="1">
      <alignment horizontal="right"/>
    </xf>
    <xf numFmtId="0" fontId="5" fillId="0" borderId="64" xfId="6" applyFont="1" applyFill="1" applyBorder="1" applyAlignment="1">
      <alignment horizontal="right"/>
    </xf>
    <xf numFmtId="1" fontId="5" fillId="0" borderId="64" xfId="6" applyNumberFormat="1" applyFont="1" applyFill="1" applyBorder="1" applyAlignment="1">
      <alignment horizontal="right"/>
    </xf>
    <xf numFmtId="0" fontId="5" fillId="0" borderId="41" xfId="6" applyFont="1" applyFill="1" applyBorder="1" applyAlignment="1">
      <alignment horizontal="right"/>
    </xf>
    <xf numFmtId="1" fontId="5" fillId="0" borderId="5" xfId="6" applyNumberFormat="1" applyFont="1" applyFill="1" applyBorder="1" applyAlignment="1">
      <alignment horizontal="right"/>
    </xf>
    <xf numFmtId="0" fontId="5" fillId="0" borderId="42" xfId="6" applyFont="1" applyFill="1" applyBorder="1" applyAlignment="1">
      <alignment horizontal="right"/>
    </xf>
    <xf numFmtId="0" fontId="5" fillId="0" borderId="9" xfId="6" applyFont="1" applyFill="1" applyBorder="1" applyAlignment="1">
      <alignment horizontal="right"/>
    </xf>
    <xf numFmtId="0" fontId="5" fillId="0" borderId="0" xfId="6" applyFont="1" applyFill="1" applyBorder="1" applyAlignment="1">
      <alignment horizontal="right"/>
    </xf>
    <xf numFmtId="0" fontId="5" fillId="0" borderId="50" xfId="6" applyFont="1" applyFill="1" applyBorder="1" applyAlignment="1">
      <alignment horizontal="right"/>
    </xf>
    <xf numFmtId="0" fontId="5" fillId="0" borderId="26" xfId="6" applyFont="1" applyFill="1" applyBorder="1" applyAlignment="1"/>
    <xf numFmtId="0" fontId="5" fillId="0" borderId="24" xfId="6" applyFont="1" applyFill="1" applyBorder="1" applyAlignment="1"/>
    <xf numFmtId="0" fontId="5" fillId="0" borderId="32" xfId="6" applyFont="1" applyFill="1" applyBorder="1" applyAlignment="1"/>
    <xf numFmtId="0" fontId="5" fillId="0" borderId="31" xfId="6" applyFont="1" applyFill="1" applyBorder="1" applyAlignment="1">
      <alignment horizontal="right" wrapText="1"/>
    </xf>
    <xf numFmtId="0" fontId="5" fillId="0" borderId="29" xfId="6" applyFont="1" applyFill="1" applyBorder="1" applyAlignment="1">
      <alignment horizontal="right" wrapText="1"/>
    </xf>
    <xf numFmtId="0" fontId="6" fillId="0" borderId="15" xfId="1" applyFont="1" applyFill="1" applyBorder="1" applyAlignment="1">
      <alignment horizontal="right" vertical="center"/>
    </xf>
    <xf numFmtId="0" fontId="5" fillId="0" borderId="31" xfId="6" applyFont="1" applyFill="1" applyBorder="1" applyAlignment="1"/>
    <xf numFmtId="1" fontId="5" fillId="0" borderId="31" xfId="6" applyNumberFormat="1" applyFont="1" applyFill="1" applyBorder="1" applyAlignment="1"/>
    <xf numFmtId="0" fontId="5" fillId="0" borderId="9" xfId="6" applyFont="1" applyFill="1" applyBorder="1" applyAlignment="1"/>
    <xf numFmtId="0" fontId="5" fillId="0" borderId="0" xfId="6" applyFont="1" applyFill="1" applyBorder="1" applyAlignment="1"/>
    <xf numFmtId="0" fontId="5" fillId="0" borderId="10" xfId="6" applyFont="1" applyFill="1" applyBorder="1" applyAlignment="1"/>
    <xf numFmtId="0" fontId="5" fillId="0" borderId="15" xfId="6" applyFont="1" applyFill="1" applyBorder="1" applyAlignment="1"/>
    <xf numFmtId="0" fontId="5" fillId="0" borderId="9" xfId="6" applyFont="1" applyBorder="1" applyAlignment="1"/>
    <xf numFmtId="0" fontId="5" fillId="0" borderId="0" xfId="6" applyFont="1" applyBorder="1" applyAlignment="1"/>
    <xf numFmtId="0" fontId="5" fillId="0" borderId="31" xfId="5" applyNumberFormat="1" applyFont="1" applyFill="1" applyBorder="1" applyAlignment="1">
      <alignment horizontal="right" vertical="center"/>
    </xf>
    <xf numFmtId="0" fontId="39" fillId="0" borderId="0" xfId="3" applyFont="1" applyBorder="1"/>
    <xf numFmtId="0" fontId="9" fillId="0" borderId="14" xfId="3" applyBorder="1"/>
    <xf numFmtId="0" fontId="9" fillId="0" borderId="24" xfId="3" applyFill="1" applyBorder="1"/>
    <xf numFmtId="0" fontId="8" fillId="0" borderId="31" xfId="3" applyFont="1" applyFill="1" applyBorder="1" applyAlignment="1">
      <alignment horizontal="center"/>
    </xf>
    <xf numFmtId="0" fontId="9" fillId="0" borderId="0" xfId="3" applyFill="1" applyBorder="1"/>
    <xf numFmtId="0" fontId="25" fillId="0" borderId="53" xfId="4" applyFont="1" applyFill="1" applyBorder="1"/>
    <xf numFmtId="0" fontId="1" fillId="0" borderId="0" xfId="1"/>
    <xf numFmtId="0" fontId="29" fillId="0" borderId="53" xfId="3" applyFont="1" applyFill="1" applyBorder="1"/>
    <xf numFmtId="0" fontId="6" fillId="0" borderId="11" xfId="4" applyFont="1" applyFill="1" applyBorder="1"/>
    <xf numFmtId="0" fontId="6" fillId="0" borderId="14" xfId="4" applyFont="1" applyFill="1" applyBorder="1" applyAlignment="1">
      <alignment wrapText="1"/>
    </xf>
    <xf numFmtId="0" fontId="5" fillId="0" borderId="0" xfId="1" applyFont="1" applyFill="1" applyBorder="1" applyAlignment="1">
      <alignment horizontal="center"/>
    </xf>
    <xf numFmtId="0" fontId="1" fillId="0" borderId="0" xfId="1"/>
    <xf numFmtId="0" fontId="5" fillId="0" borderId="0" xfId="1" applyFont="1" applyFill="1" applyAlignment="1">
      <alignment horizontal="left"/>
    </xf>
    <xf numFmtId="0" fontId="6" fillId="0" borderId="23" xfId="1" applyFont="1" applyFill="1" applyBorder="1" applyAlignment="1">
      <alignment horizontal="left" vertical="center"/>
    </xf>
    <xf numFmtId="0" fontId="5" fillId="0" borderId="18" xfId="1" applyFont="1" applyFill="1" applyBorder="1" applyAlignment="1">
      <alignment horizontal="center"/>
    </xf>
    <xf numFmtId="0" fontId="5" fillId="5" borderId="26" xfId="3" applyFont="1" applyFill="1" applyBorder="1" applyAlignment="1">
      <alignment horizontal="center" vertical="center"/>
    </xf>
    <xf numFmtId="0" fontId="17" fillId="0" borderId="0" xfId="3" applyFont="1" applyAlignment="1"/>
    <xf numFmtId="0" fontId="6" fillId="0" borderId="0" xfId="0" applyNumberFormat="1" applyFont="1" applyFill="1" applyBorder="1" applyAlignment="1">
      <alignment horizontal="center"/>
    </xf>
    <xf numFmtId="0" fontId="7" fillId="0" borderId="31" xfId="3" applyFont="1" applyBorder="1" applyAlignment="1">
      <alignment horizontal="center" vertical="center"/>
    </xf>
    <xf numFmtId="0" fontId="5" fillId="0" borderId="77" xfId="3" applyFont="1" applyFill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45" xfId="3" applyFont="1" applyBorder="1" applyAlignment="1">
      <alignment horizontal="center" vertical="center"/>
    </xf>
    <xf numFmtId="0" fontId="5" fillId="0" borderId="82" xfId="3" applyFont="1" applyBorder="1" applyAlignment="1">
      <alignment horizontal="center" vertical="center"/>
    </xf>
    <xf numFmtId="0" fontId="5" fillId="5" borderId="83" xfId="3" applyFont="1" applyFill="1" applyBorder="1" applyAlignment="1">
      <alignment vertical="center"/>
    </xf>
    <xf numFmtId="3" fontId="5" fillId="5" borderId="31" xfId="3" applyNumberFormat="1" applyFont="1" applyFill="1" applyBorder="1" applyAlignment="1">
      <alignment horizontal="center" vertical="center" wrapText="1"/>
    </xf>
    <xf numFmtId="3" fontId="5" fillId="5" borderId="31" xfId="3" applyNumberFormat="1" applyFont="1" applyFill="1" applyBorder="1" applyAlignment="1">
      <alignment horizontal="center" vertical="center"/>
    </xf>
    <xf numFmtId="0" fontId="5" fillId="5" borderId="31" xfId="3" applyFont="1" applyFill="1" applyBorder="1" applyAlignment="1">
      <alignment horizontal="center" vertical="center" wrapText="1"/>
    </xf>
    <xf numFmtId="0" fontId="5" fillId="5" borderId="30" xfId="3" applyFont="1" applyFill="1" applyBorder="1" applyAlignment="1">
      <alignment horizontal="center" vertical="center"/>
    </xf>
    <xf numFmtId="0" fontId="5" fillId="5" borderId="84" xfId="3" applyFont="1" applyFill="1" applyBorder="1" applyAlignment="1">
      <alignment horizontal="center" vertical="center"/>
    </xf>
    <xf numFmtId="0" fontId="5" fillId="0" borderId="83" xfId="3" applyFont="1" applyFill="1" applyBorder="1" applyAlignment="1">
      <alignment vertical="center"/>
    </xf>
    <xf numFmtId="3" fontId="5" fillId="0" borderId="31" xfId="3" applyNumberFormat="1" applyFont="1" applyFill="1" applyBorder="1" applyAlignment="1">
      <alignment horizontal="center" vertical="center" wrapText="1"/>
    </xf>
    <xf numFmtId="3" fontId="5" fillId="0" borderId="31" xfId="3" applyNumberFormat="1" applyFont="1" applyFill="1" applyBorder="1" applyAlignment="1">
      <alignment horizontal="center" vertical="center"/>
    </xf>
    <xf numFmtId="0" fontId="5" fillId="0" borderId="31" xfId="3" applyFont="1" applyFill="1" applyBorder="1" applyAlignment="1">
      <alignment horizontal="center" vertical="center" wrapText="1"/>
    </xf>
    <xf numFmtId="0" fontId="5" fillId="0" borderId="30" xfId="3" applyFont="1" applyFill="1" applyBorder="1" applyAlignment="1">
      <alignment horizontal="center" vertical="center"/>
    </xf>
    <xf numFmtId="0" fontId="5" fillId="0" borderId="84" xfId="3" applyFont="1" applyFill="1" applyBorder="1" applyAlignment="1">
      <alignment horizontal="center" vertical="center"/>
    </xf>
    <xf numFmtId="0" fontId="3" fillId="0" borderId="85" xfId="3" applyFont="1" applyFill="1" applyBorder="1" applyAlignment="1">
      <alignment vertical="center"/>
    </xf>
    <xf numFmtId="3" fontId="3" fillId="0" borderId="31" xfId="3" applyNumberFormat="1" applyFont="1" applyBorder="1" applyAlignment="1">
      <alignment horizontal="center" vertical="center"/>
    </xf>
    <xf numFmtId="0" fontId="3" fillId="0" borderId="86" xfId="3" applyFont="1" applyBorder="1" applyAlignment="1">
      <alignment horizontal="center" vertical="center"/>
    </xf>
    <xf numFmtId="0" fontId="5" fillId="5" borderId="87" xfId="3" applyFont="1" applyFill="1" applyBorder="1" applyAlignment="1">
      <alignment vertical="center"/>
    </xf>
    <xf numFmtId="3" fontId="5" fillId="5" borderId="26" xfId="3" applyNumberFormat="1" applyFont="1" applyFill="1" applyBorder="1" applyAlignment="1">
      <alignment horizontal="center" vertical="center" wrapText="1"/>
    </xf>
    <xf numFmtId="1" fontId="5" fillId="5" borderId="24" xfId="3" applyNumberFormat="1" applyFont="1" applyFill="1" applyBorder="1" applyAlignment="1">
      <alignment horizontal="center" vertical="center"/>
    </xf>
    <xf numFmtId="0" fontId="5" fillId="5" borderId="78" xfId="3" applyFont="1" applyFill="1" applyBorder="1" applyAlignment="1">
      <alignment horizontal="center" vertical="center"/>
    </xf>
    <xf numFmtId="3" fontId="5" fillId="0" borderId="26" xfId="3" applyNumberFormat="1" applyFont="1" applyFill="1" applyBorder="1" applyAlignment="1">
      <alignment horizontal="center" vertical="center" wrapText="1"/>
    </xf>
    <xf numFmtId="1" fontId="5" fillId="0" borderId="24" xfId="3" applyNumberFormat="1" applyFont="1" applyFill="1" applyBorder="1" applyAlignment="1">
      <alignment horizontal="center" vertical="center"/>
    </xf>
    <xf numFmtId="0" fontId="5" fillId="0" borderId="26" xfId="3" applyFont="1" applyFill="1" applyBorder="1" applyAlignment="1">
      <alignment horizontal="center" vertical="center"/>
    </xf>
    <xf numFmtId="0" fontId="5" fillId="0" borderId="78" xfId="3" applyFont="1" applyFill="1" applyBorder="1" applyAlignment="1">
      <alignment horizontal="center" vertical="center"/>
    </xf>
    <xf numFmtId="0" fontId="3" fillId="0" borderId="31" xfId="3" applyFont="1" applyFill="1" applyBorder="1" applyAlignment="1">
      <alignment horizontal="center" vertical="center"/>
    </xf>
    <xf numFmtId="0" fontId="5" fillId="0" borderId="88" xfId="3" applyFont="1" applyFill="1" applyBorder="1" applyAlignment="1">
      <alignment vertical="center"/>
    </xf>
    <xf numFmtId="3" fontId="5" fillId="0" borderId="9" xfId="3" applyNumberFormat="1" applyFont="1" applyBorder="1" applyAlignment="1">
      <alignment horizontal="center" vertical="center" wrapText="1"/>
    </xf>
    <xf numFmtId="0" fontId="38" fillId="0" borderId="11" xfId="0" applyNumberFormat="1" applyFont="1" applyBorder="1" applyAlignment="1">
      <alignment horizontal="center" vertical="center"/>
    </xf>
    <xf numFmtId="0" fontId="38" fillId="0" borderId="10" xfId="0" applyNumberFormat="1" applyFont="1" applyBorder="1" applyAlignment="1">
      <alignment horizontal="center" vertical="center"/>
    </xf>
    <xf numFmtId="0" fontId="6" fillId="0" borderId="45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5" fillId="0" borderId="89" xfId="3" applyFont="1" applyBorder="1" applyAlignment="1">
      <alignment horizontal="center" vertical="center"/>
    </xf>
    <xf numFmtId="0" fontId="38" fillId="0" borderId="14" xfId="0" applyNumberFormat="1" applyFont="1" applyBorder="1" applyAlignment="1">
      <alignment horizontal="center" vertical="center"/>
    </xf>
    <xf numFmtId="0" fontId="38" fillId="0" borderId="9" xfId="0" applyNumberFormat="1" applyFont="1" applyBorder="1" applyAlignment="1">
      <alignment horizontal="center" vertical="center"/>
    </xf>
    <xf numFmtId="0" fontId="6" fillId="0" borderId="53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5" fillId="0" borderId="87" xfId="3" applyFont="1" applyFill="1" applyBorder="1" applyAlignment="1">
      <alignment vertical="center"/>
    </xf>
    <xf numFmtId="3" fontId="5" fillId="0" borderId="26" xfId="3" applyNumberFormat="1" applyFont="1" applyBorder="1" applyAlignment="1">
      <alignment horizontal="center" vertical="center"/>
    </xf>
    <xf numFmtId="0" fontId="38" fillId="0" borderId="12" xfId="0" applyNumberFormat="1" applyFont="1" applyBorder="1" applyAlignment="1">
      <alignment horizontal="center" vertical="center"/>
    </xf>
    <xf numFmtId="0" fontId="38" fillId="0" borderId="26" xfId="0" applyNumberFormat="1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0" fontId="3" fillId="5" borderId="9" xfId="3" applyFont="1" applyFill="1" applyBorder="1" applyAlignment="1">
      <alignment horizontal="center" vertical="center"/>
    </xf>
    <xf numFmtId="0" fontId="3" fillId="5" borderId="90" xfId="3" applyFont="1" applyFill="1" applyBorder="1" applyAlignment="1">
      <alignment horizontal="center" vertical="center"/>
    </xf>
    <xf numFmtId="0" fontId="5" fillId="3" borderId="83" xfId="3" applyFont="1" applyFill="1" applyBorder="1" applyAlignment="1">
      <alignment vertical="center"/>
    </xf>
    <xf numFmtId="3" fontId="18" fillId="0" borderId="55" xfId="3" applyNumberFormat="1" applyFont="1" applyBorder="1" applyAlignment="1">
      <alignment horizontal="center" vertical="center"/>
    </xf>
    <xf numFmtId="0" fontId="18" fillId="0" borderId="55" xfId="3" applyNumberFormat="1" applyFont="1" applyBorder="1" applyAlignment="1">
      <alignment horizontal="center" vertical="center"/>
    </xf>
    <xf numFmtId="0" fontId="3" fillId="0" borderId="91" xfId="3" applyFont="1" applyFill="1" applyBorder="1" applyAlignment="1">
      <alignment vertical="center"/>
    </xf>
    <xf numFmtId="3" fontId="3" fillId="0" borderId="62" xfId="3" applyNumberFormat="1" applyFont="1" applyBorder="1" applyAlignment="1">
      <alignment horizontal="center" vertical="center"/>
    </xf>
    <xf numFmtId="0" fontId="3" fillId="0" borderId="62" xfId="3" applyFont="1" applyBorder="1" applyAlignment="1">
      <alignment horizontal="center" vertical="center"/>
    </xf>
    <xf numFmtId="0" fontId="3" fillId="0" borderId="92" xfId="3" applyFont="1" applyBorder="1" applyAlignment="1">
      <alignment horizontal="center" vertical="center"/>
    </xf>
    <xf numFmtId="0" fontId="41" fillId="0" borderId="28" xfId="0" applyFont="1" applyBorder="1"/>
    <xf numFmtId="3" fontId="3" fillId="0" borderId="20" xfId="1" applyNumberFormat="1" applyFont="1" applyFill="1" applyBorder="1" applyAlignment="1">
      <alignment horizontal="right" vertical="center"/>
    </xf>
    <xf numFmtId="3" fontId="5" fillId="0" borderId="26" xfId="5" applyNumberFormat="1" applyFont="1" applyFill="1" applyBorder="1" applyAlignment="1">
      <alignment horizontal="right" vertical="center" wrapText="1"/>
    </xf>
    <xf numFmtId="3" fontId="5" fillId="0" borderId="10" xfId="1" applyNumberFormat="1" applyFont="1" applyFill="1" applyBorder="1" applyAlignment="1">
      <alignment horizontal="right" vertical="center"/>
    </xf>
    <xf numFmtId="3" fontId="5" fillId="0" borderId="31" xfId="1" applyNumberFormat="1" applyFont="1" applyFill="1" applyBorder="1" applyAlignment="1">
      <alignment horizontal="right" vertical="center"/>
    </xf>
    <xf numFmtId="3" fontId="3" fillId="0" borderId="31" xfId="1" applyNumberFormat="1" applyFont="1" applyFill="1" applyBorder="1" applyAlignment="1">
      <alignment horizontal="right" vertical="center"/>
    </xf>
    <xf numFmtId="3" fontId="5" fillId="0" borderId="26" xfId="1" applyNumberFormat="1" applyFont="1" applyFill="1" applyBorder="1" applyAlignment="1">
      <alignment horizontal="right" vertical="center"/>
    </xf>
    <xf numFmtId="3" fontId="5" fillId="0" borderId="29" xfId="6" applyNumberFormat="1" applyFont="1" applyFill="1" applyBorder="1" applyAlignment="1">
      <alignment horizontal="right"/>
    </xf>
    <xf numFmtId="3" fontId="5" fillId="0" borderId="31" xfId="6" applyNumberFormat="1" applyFont="1" applyFill="1" applyBorder="1" applyAlignment="1">
      <alignment horizontal="right"/>
    </xf>
    <xf numFmtId="3" fontId="5" fillId="0" borderId="62" xfId="6" applyNumberFormat="1" applyFont="1" applyFill="1" applyBorder="1" applyAlignment="1">
      <alignment horizontal="right"/>
    </xf>
    <xf numFmtId="3" fontId="5" fillId="0" borderId="4" xfId="6" applyNumberFormat="1" applyFont="1" applyFill="1" applyBorder="1" applyAlignment="1">
      <alignment horizontal="right"/>
    </xf>
    <xf numFmtId="3" fontId="5" fillId="0" borderId="41" xfId="6" applyNumberFormat="1" applyFont="1" applyFill="1" applyBorder="1" applyAlignment="1">
      <alignment horizontal="right"/>
    </xf>
    <xf numFmtId="3" fontId="5" fillId="0" borderId="5" xfId="6" applyNumberFormat="1" applyFont="1" applyFill="1" applyBorder="1" applyAlignment="1">
      <alignment horizontal="right"/>
    </xf>
    <xf numFmtId="3" fontId="5" fillId="0" borderId="0" xfId="6" applyNumberFormat="1" applyFont="1" applyFill="1" applyBorder="1" applyAlignment="1">
      <alignment horizontal="right"/>
    </xf>
    <xf numFmtId="3" fontId="5" fillId="0" borderId="9" xfId="6" applyNumberFormat="1" applyFont="1" applyFill="1" applyBorder="1" applyAlignment="1">
      <alignment horizontal="right"/>
    </xf>
    <xf numFmtId="3" fontId="7" fillId="0" borderId="26" xfId="1" applyNumberFormat="1" applyFont="1" applyFill="1" applyBorder="1" applyAlignment="1">
      <alignment horizontal="right" vertical="center"/>
    </xf>
    <xf numFmtId="3" fontId="5" fillId="0" borderId="24" xfId="6" applyNumberFormat="1" applyFont="1" applyFill="1" applyBorder="1" applyAlignment="1"/>
    <xf numFmtId="3" fontId="5" fillId="0" borderId="26" xfId="6" applyNumberFormat="1" applyFont="1" applyFill="1" applyBorder="1" applyAlignment="1"/>
    <xf numFmtId="3" fontId="5" fillId="0" borderId="29" xfId="6" applyNumberFormat="1" applyFont="1" applyFill="1" applyBorder="1" applyAlignment="1">
      <alignment horizontal="right" wrapText="1"/>
    </xf>
    <xf numFmtId="3" fontId="7" fillId="0" borderId="31" xfId="1" applyNumberFormat="1" applyFont="1" applyFill="1" applyBorder="1" applyAlignment="1">
      <alignment horizontal="right" vertical="center"/>
    </xf>
    <xf numFmtId="3" fontId="6" fillId="0" borderId="10" xfId="1" applyNumberFormat="1" applyFont="1" applyFill="1" applyBorder="1" applyAlignment="1">
      <alignment horizontal="right" vertical="center"/>
    </xf>
    <xf numFmtId="3" fontId="5" fillId="0" borderId="31" xfId="6" applyNumberFormat="1" applyFont="1" applyFill="1" applyBorder="1" applyAlignment="1"/>
    <xf numFmtId="3" fontId="7" fillId="0" borderId="10" xfId="1" applyNumberFormat="1" applyFont="1" applyFill="1" applyBorder="1" applyAlignment="1">
      <alignment horizontal="right" vertical="center"/>
    </xf>
    <xf numFmtId="3" fontId="5" fillId="0" borderId="0" xfId="6" applyNumberFormat="1" applyFont="1" applyFill="1" applyBorder="1" applyAlignment="1"/>
    <xf numFmtId="3" fontId="5" fillId="0" borderId="9" xfId="6" applyNumberFormat="1" applyFont="1" applyFill="1" applyBorder="1" applyAlignment="1"/>
    <xf numFmtId="3" fontId="5" fillId="0" borderId="10" xfId="6" applyNumberFormat="1" applyFont="1" applyFill="1" applyBorder="1" applyAlignment="1"/>
    <xf numFmtId="3" fontId="5" fillId="0" borderId="0" xfId="6" applyNumberFormat="1" applyFont="1" applyBorder="1" applyAlignment="1"/>
    <xf numFmtId="3" fontId="7" fillId="0" borderId="20" xfId="1" applyNumberFormat="1" applyFont="1" applyFill="1" applyBorder="1" applyAlignment="1">
      <alignment horizontal="right" vertical="center"/>
    </xf>
    <xf numFmtId="3" fontId="6" fillId="0" borderId="26" xfId="1" applyNumberFormat="1" applyFont="1" applyFill="1" applyBorder="1" applyAlignment="1">
      <alignment horizontal="right" vertical="center"/>
    </xf>
    <xf numFmtId="3" fontId="6" fillId="0" borderId="31" xfId="1" applyNumberFormat="1" applyFont="1" applyFill="1" applyBorder="1" applyAlignment="1">
      <alignment horizontal="right" vertical="center"/>
    </xf>
    <xf numFmtId="3" fontId="5" fillId="0" borderId="41" xfId="1" applyNumberFormat="1" applyFont="1" applyFill="1" applyBorder="1" applyAlignment="1">
      <alignment horizontal="right" vertical="center"/>
    </xf>
    <xf numFmtId="3" fontId="12" fillId="4" borderId="26" xfId="1" applyNumberFormat="1" applyFont="1" applyFill="1" applyBorder="1" applyAlignment="1">
      <alignment horizontal="right" vertical="center"/>
    </xf>
    <xf numFmtId="3" fontId="12" fillId="4" borderId="31" xfId="1" applyNumberFormat="1" applyFont="1" applyFill="1" applyBorder="1" applyAlignment="1">
      <alignment horizontal="right" vertical="center"/>
    </xf>
    <xf numFmtId="3" fontId="5" fillId="0" borderId="29" xfId="1" applyNumberFormat="1" applyFont="1" applyFill="1" applyBorder="1" applyAlignment="1">
      <alignment horizontal="right" vertical="center"/>
    </xf>
    <xf numFmtId="3" fontId="5" fillId="0" borderId="43" xfId="1" applyNumberFormat="1" applyFont="1" applyFill="1" applyBorder="1" applyAlignment="1">
      <alignment horizontal="right" vertical="center"/>
    </xf>
    <xf numFmtId="3" fontId="12" fillId="0" borderId="9" xfId="1" applyNumberFormat="1" applyFont="1" applyFill="1" applyBorder="1" applyAlignment="1">
      <alignment horizontal="right" vertical="center"/>
    </xf>
    <xf numFmtId="3" fontId="12" fillId="0" borderId="0" xfId="1" applyNumberFormat="1" applyFont="1" applyFill="1" applyBorder="1" applyAlignment="1">
      <alignment horizontal="right" vertical="center"/>
    </xf>
    <xf numFmtId="3" fontId="6" fillId="0" borderId="43" xfId="1" applyNumberFormat="1" applyFont="1" applyFill="1" applyBorder="1" applyAlignment="1">
      <alignment horizontal="right" vertical="center"/>
    </xf>
    <xf numFmtId="3" fontId="5" fillId="0" borderId="37" xfId="1" applyNumberFormat="1" applyFont="1" applyFill="1" applyBorder="1" applyAlignment="1">
      <alignment horizontal="right" vertical="center"/>
    </xf>
    <xf numFmtId="3" fontId="5" fillId="0" borderId="35" xfId="1" applyNumberFormat="1" applyFont="1" applyFill="1" applyBorder="1" applyAlignment="1">
      <alignment horizontal="right" vertical="center"/>
    </xf>
    <xf numFmtId="3" fontId="12" fillId="0" borderId="49" xfId="1" applyNumberFormat="1" applyFont="1" applyFill="1" applyBorder="1" applyAlignment="1">
      <alignment horizontal="right" vertical="center"/>
    </xf>
    <xf numFmtId="3" fontId="12" fillId="0" borderId="47" xfId="1" applyNumberFormat="1" applyFont="1" applyFill="1" applyBorder="1" applyAlignment="1">
      <alignment horizontal="right" vertical="center"/>
    </xf>
    <xf numFmtId="3" fontId="7" fillId="0" borderId="51" xfId="1" applyNumberFormat="1" applyFont="1" applyFill="1" applyBorder="1" applyAlignment="1">
      <alignment horizontal="right" vertical="center"/>
    </xf>
    <xf numFmtId="3" fontId="6" fillId="0" borderId="24" xfId="1" applyNumberFormat="1" applyFont="1" applyFill="1" applyBorder="1" applyAlignment="1">
      <alignment horizontal="right" vertical="center"/>
    </xf>
    <xf numFmtId="3" fontId="7" fillId="0" borderId="41" xfId="1" applyNumberFormat="1" applyFont="1" applyBorder="1" applyAlignment="1">
      <alignment horizontal="right" vertical="center" wrapText="1"/>
    </xf>
    <xf numFmtId="3" fontId="7" fillId="0" borderId="43" xfId="1" applyNumberFormat="1" applyFont="1" applyFill="1" applyBorder="1" applyAlignment="1">
      <alignment horizontal="right" vertical="center"/>
    </xf>
    <xf numFmtId="3" fontId="7" fillId="0" borderId="37" xfId="1" applyNumberFormat="1" applyFont="1" applyFill="1" applyBorder="1" applyAlignment="1">
      <alignment horizontal="right" vertical="center"/>
    </xf>
    <xf numFmtId="3" fontId="7" fillId="0" borderId="35" xfId="1" applyNumberFormat="1" applyFont="1" applyFill="1" applyBorder="1" applyAlignment="1">
      <alignment horizontal="right" vertical="center"/>
    </xf>
    <xf numFmtId="1" fontId="5" fillId="0" borderId="26" xfId="5" applyNumberFormat="1" applyFont="1" applyFill="1" applyBorder="1" applyAlignment="1">
      <alignment horizontal="right" vertical="center" wrapText="1"/>
    </xf>
    <xf numFmtId="1" fontId="5" fillId="0" borderId="31" xfId="1" applyNumberFormat="1" applyFont="1" applyFill="1" applyBorder="1" applyAlignment="1">
      <alignment horizontal="right" vertical="center"/>
    </xf>
    <xf numFmtId="1" fontId="5" fillId="0" borderId="10" xfId="1" applyNumberFormat="1" applyFont="1" applyFill="1" applyBorder="1" applyAlignment="1">
      <alignment horizontal="right" vertical="center"/>
    </xf>
    <xf numFmtId="1" fontId="5" fillId="0" borderId="29" xfId="6" applyNumberFormat="1" applyFont="1" applyFill="1" applyBorder="1" applyAlignment="1">
      <alignment horizontal="right"/>
    </xf>
    <xf numFmtId="1" fontId="5" fillId="0" borderId="31" xfId="6" applyNumberFormat="1" applyFont="1" applyFill="1" applyBorder="1" applyAlignment="1">
      <alignment horizontal="right"/>
    </xf>
    <xf numFmtId="1" fontId="5" fillId="0" borderId="62" xfId="6" applyNumberFormat="1" applyFont="1" applyFill="1" applyBorder="1" applyAlignment="1">
      <alignment horizontal="right"/>
    </xf>
    <xf numFmtId="1" fontId="3" fillId="0" borderId="20" xfId="1" applyNumberFormat="1" applyFont="1" applyFill="1" applyBorder="1" applyAlignment="1">
      <alignment horizontal="right" vertical="center"/>
    </xf>
    <xf numFmtId="1" fontId="5" fillId="0" borderId="41" xfId="6" applyNumberFormat="1" applyFont="1" applyFill="1" applyBorder="1" applyAlignment="1">
      <alignment horizontal="right"/>
    </xf>
    <xf numFmtId="1" fontId="5" fillId="0" borderId="0" xfId="6" applyNumberFormat="1" applyFont="1" applyFill="1" applyBorder="1" applyAlignment="1">
      <alignment horizontal="right"/>
    </xf>
    <xf numFmtId="1" fontId="5" fillId="0" borderId="9" xfId="6" applyNumberFormat="1" applyFont="1" applyFill="1" applyBorder="1" applyAlignment="1">
      <alignment horizontal="right"/>
    </xf>
    <xf numFmtId="1" fontId="5" fillId="0" borderId="124" xfId="6" applyNumberFormat="1" applyFont="1" applyFill="1" applyBorder="1" applyAlignment="1">
      <alignment horizontal="right"/>
    </xf>
    <xf numFmtId="1" fontId="5" fillId="0" borderId="24" xfId="6" applyNumberFormat="1" applyFont="1" applyFill="1" applyBorder="1" applyAlignment="1"/>
    <xf numFmtId="1" fontId="7" fillId="0" borderId="26" xfId="1" applyNumberFormat="1" applyFont="1" applyFill="1" applyBorder="1" applyAlignment="1">
      <alignment horizontal="right" vertical="center"/>
    </xf>
    <xf numFmtId="1" fontId="5" fillId="0" borderId="31" xfId="6" applyNumberFormat="1" applyFont="1" applyFill="1" applyBorder="1" applyAlignment="1">
      <alignment horizontal="right" wrapText="1"/>
    </xf>
    <xf numFmtId="1" fontId="5" fillId="0" borderId="10" xfId="6" applyNumberFormat="1" applyFont="1" applyFill="1" applyBorder="1" applyAlignment="1"/>
    <xf numFmtId="1" fontId="5" fillId="0" borderId="9" xfId="6" applyNumberFormat="1" applyFont="1" applyBorder="1" applyAlignment="1"/>
    <xf numFmtId="1" fontId="7" fillId="0" borderId="31" xfId="1" applyNumberFormat="1" applyFont="1" applyFill="1" applyBorder="1" applyAlignment="1">
      <alignment horizontal="right" vertical="center"/>
    </xf>
    <xf numFmtId="1" fontId="7" fillId="0" borderId="20" xfId="1" applyNumberFormat="1" applyFont="1" applyFill="1" applyBorder="1" applyAlignment="1">
      <alignment horizontal="right" vertical="center"/>
    </xf>
    <xf numFmtId="1" fontId="6" fillId="0" borderId="43" xfId="1" applyNumberFormat="1" applyFont="1" applyFill="1" applyBorder="1" applyAlignment="1">
      <alignment horizontal="right" vertical="center"/>
    </xf>
    <xf numFmtId="1" fontId="5" fillId="0" borderId="37" xfId="1" applyNumberFormat="1" applyFont="1" applyFill="1" applyBorder="1" applyAlignment="1">
      <alignment horizontal="right" vertical="center"/>
    </xf>
    <xf numFmtId="1" fontId="7" fillId="0" borderId="51" xfId="1" applyNumberFormat="1" applyFont="1" applyFill="1" applyBorder="1" applyAlignment="1">
      <alignment horizontal="right" vertical="center"/>
    </xf>
    <xf numFmtId="1" fontId="6" fillId="0" borderId="24" xfId="1" applyNumberFormat="1" applyFont="1" applyFill="1" applyBorder="1" applyAlignment="1">
      <alignment horizontal="right" vertical="center"/>
    </xf>
    <xf numFmtId="1" fontId="7" fillId="0" borderId="10" xfId="1" applyNumberFormat="1" applyFont="1" applyFill="1" applyBorder="1" applyAlignment="1">
      <alignment horizontal="right" vertical="center"/>
    </xf>
    <xf numFmtId="1" fontId="7" fillId="0" borderId="43" xfId="1" applyNumberFormat="1" applyFont="1" applyFill="1" applyBorder="1" applyAlignment="1">
      <alignment horizontal="right" vertical="center"/>
    </xf>
    <xf numFmtId="1" fontId="7" fillId="0" borderId="37" xfId="1" applyNumberFormat="1" applyFont="1" applyFill="1" applyBorder="1" applyAlignment="1">
      <alignment horizontal="right" vertical="center"/>
    </xf>
    <xf numFmtId="0" fontId="5" fillId="0" borderId="28" xfId="1" applyFont="1" applyFill="1" applyBorder="1" applyAlignment="1">
      <alignment horizontal="left" vertical="center"/>
    </xf>
    <xf numFmtId="0" fontId="5" fillId="0" borderId="29" xfId="1" applyFont="1" applyFill="1" applyBorder="1" applyAlignment="1">
      <alignment horizontal="left" vertical="center"/>
    </xf>
    <xf numFmtId="0" fontId="5" fillId="0" borderId="30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left" wrapText="1"/>
    </xf>
    <xf numFmtId="0" fontId="2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/>
    </xf>
    <xf numFmtId="0" fontId="5" fillId="0" borderId="12" xfId="1" applyFont="1" applyFill="1" applyBorder="1" applyAlignment="1">
      <alignment horizontal="center"/>
    </xf>
    <xf numFmtId="0" fontId="5" fillId="0" borderId="13" xfId="1" applyFont="1" applyFill="1" applyBorder="1" applyAlignment="1">
      <alignment horizontal="center"/>
    </xf>
    <xf numFmtId="0" fontId="5" fillId="0" borderId="17" xfId="1" applyFont="1" applyFill="1" applyBorder="1" applyAlignment="1">
      <alignment horizontal="center"/>
    </xf>
    <xf numFmtId="0" fontId="5" fillId="0" borderId="18" xfId="1" applyFont="1" applyFill="1" applyBorder="1" applyAlignment="1">
      <alignment horizontal="center"/>
    </xf>
    <xf numFmtId="0" fontId="5" fillId="0" borderId="19" xfId="1" applyFont="1" applyFill="1" applyBorder="1" applyAlignment="1">
      <alignment horizontal="center"/>
    </xf>
    <xf numFmtId="0" fontId="3" fillId="0" borderId="17" xfId="1" applyFont="1" applyFill="1" applyBorder="1" applyAlignment="1">
      <alignment horizontal="left" vertical="center" wrapText="1"/>
    </xf>
    <xf numFmtId="0" fontId="3" fillId="0" borderId="18" xfId="1" applyFont="1" applyFill="1" applyBorder="1" applyAlignment="1">
      <alignment horizontal="left" vertical="center" wrapText="1"/>
    </xf>
    <xf numFmtId="0" fontId="3" fillId="0" borderId="19" xfId="1" applyFont="1" applyFill="1" applyBorder="1" applyAlignment="1">
      <alignment horizontal="left" vertical="center" wrapText="1"/>
    </xf>
    <xf numFmtId="0" fontId="5" fillId="0" borderId="23" xfId="1" applyFont="1" applyFill="1" applyBorder="1" applyAlignment="1">
      <alignment horizontal="left" vertical="center"/>
    </xf>
    <xf numFmtId="0" fontId="5" fillId="0" borderId="24" xfId="1" applyFont="1" applyFill="1" applyBorder="1" applyAlignment="1">
      <alignment horizontal="left" vertical="center"/>
    </xf>
    <xf numFmtId="0" fontId="5" fillId="0" borderId="25" xfId="1" applyFont="1" applyFill="1" applyBorder="1" applyAlignment="1">
      <alignment horizontal="left" vertical="center"/>
    </xf>
    <xf numFmtId="0" fontId="3" fillId="0" borderId="17" xfId="1" applyFont="1" applyFill="1" applyBorder="1" applyAlignment="1">
      <alignment horizontal="left" vertical="center"/>
    </xf>
    <xf numFmtId="0" fontId="3" fillId="0" borderId="18" xfId="1" applyFont="1" applyFill="1" applyBorder="1" applyAlignment="1">
      <alignment horizontal="left" vertical="center"/>
    </xf>
    <xf numFmtId="0" fontId="3" fillId="0" borderId="19" xfId="1" applyFont="1" applyFill="1" applyBorder="1" applyAlignment="1">
      <alignment horizontal="left" vertical="center"/>
    </xf>
    <xf numFmtId="0" fontId="3" fillId="0" borderId="28" xfId="1" applyFont="1" applyFill="1" applyBorder="1" applyAlignment="1">
      <alignment horizontal="left" vertical="center" wrapText="1"/>
    </xf>
    <xf numFmtId="0" fontId="8" fillId="0" borderId="29" xfId="1" applyFont="1" applyFill="1" applyBorder="1" applyAlignment="1">
      <alignment horizontal="left" vertical="center" wrapText="1"/>
    </xf>
    <xf numFmtId="0" fontId="8" fillId="0" borderId="30" xfId="1" applyFont="1" applyFill="1" applyBorder="1" applyAlignment="1">
      <alignment horizontal="left" vertical="center" wrapText="1"/>
    </xf>
    <xf numFmtId="0" fontId="5" fillId="0" borderId="34" xfId="1" applyFont="1" applyFill="1" applyBorder="1" applyAlignment="1">
      <alignment horizontal="left" vertical="center"/>
    </xf>
    <xf numFmtId="0" fontId="5" fillId="0" borderId="35" xfId="1" applyFont="1" applyFill="1" applyBorder="1" applyAlignment="1">
      <alignment horizontal="left" vertical="center"/>
    </xf>
    <xf numFmtId="0" fontId="5" fillId="0" borderId="36" xfId="1" applyFont="1" applyFill="1" applyBorder="1" applyAlignment="1">
      <alignment horizontal="left" vertical="center"/>
    </xf>
    <xf numFmtId="0" fontId="5" fillId="0" borderId="39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5" fillId="0" borderId="40" xfId="1" applyFont="1" applyFill="1" applyBorder="1" applyAlignment="1">
      <alignment horizontal="left" vertical="center"/>
    </xf>
    <xf numFmtId="0" fontId="7" fillId="0" borderId="39" xfId="1" applyFont="1" applyFill="1" applyBorder="1" applyAlignment="1">
      <alignment horizontal="left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0" xfId="1" applyFont="1" applyFill="1" applyBorder="1" applyAlignment="1">
      <alignment horizontal="left" vertical="center"/>
    </xf>
    <xf numFmtId="0" fontId="6" fillId="0" borderId="28" xfId="1" applyFont="1" applyFill="1" applyBorder="1" applyAlignment="1">
      <alignment horizontal="left" vertical="center"/>
    </xf>
    <xf numFmtId="0" fontId="6" fillId="0" borderId="29" xfId="1" applyFont="1" applyFill="1" applyBorder="1" applyAlignment="1">
      <alignment horizontal="left" vertical="center"/>
    </xf>
    <xf numFmtId="0" fontId="6" fillId="0" borderId="30" xfId="1" applyFont="1" applyFill="1" applyBorder="1" applyAlignment="1">
      <alignment horizontal="left" vertical="center"/>
    </xf>
    <xf numFmtId="0" fontId="7" fillId="0" borderId="28" xfId="1" applyFont="1" applyFill="1" applyBorder="1" applyAlignment="1">
      <alignment horizontal="left" vertical="center"/>
    </xf>
    <xf numFmtId="0" fontId="7" fillId="0" borderId="29" xfId="1" applyFont="1" applyFill="1" applyBorder="1" applyAlignment="1">
      <alignment horizontal="left" vertical="center"/>
    </xf>
    <xf numFmtId="0" fontId="7" fillId="0" borderId="30" xfId="1" applyFont="1" applyFill="1" applyBorder="1" applyAlignment="1">
      <alignment horizontal="left" vertical="center"/>
    </xf>
    <xf numFmtId="0" fontId="5" fillId="0" borderId="40" xfId="1" applyFont="1" applyFill="1" applyBorder="1" applyAlignment="1">
      <alignment horizontal="center"/>
    </xf>
    <xf numFmtId="0" fontId="7" fillId="0" borderId="44" xfId="1" applyFont="1" applyFill="1" applyBorder="1" applyAlignment="1">
      <alignment horizontal="left" vertical="center"/>
    </xf>
    <xf numFmtId="0" fontId="7" fillId="0" borderId="43" xfId="1" applyFont="1" applyFill="1" applyBorder="1" applyAlignment="1">
      <alignment horizontal="left" vertical="center"/>
    </xf>
    <xf numFmtId="0" fontId="7" fillId="0" borderId="45" xfId="1" applyFont="1" applyFill="1" applyBorder="1" applyAlignment="1">
      <alignment horizontal="left" vertical="center"/>
    </xf>
    <xf numFmtId="0" fontId="5" fillId="0" borderId="34" xfId="1" applyFont="1" applyFill="1" applyBorder="1" applyAlignment="1">
      <alignment horizontal="center"/>
    </xf>
    <xf numFmtId="0" fontId="5" fillId="0" borderId="35" xfId="1" applyFont="1" applyFill="1" applyBorder="1" applyAlignment="1">
      <alignment horizontal="center"/>
    </xf>
    <xf numFmtId="0" fontId="5" fillId="0" borderId="36" xfId="1" applyFont="1" applyFill="1" applyBorder="1" applyAlignment="1">
      <alignment horizontal="center"/>
    </xf>
    <xf numFmtId="0" fontId="3" fillId="0" borderId="17" xfId="1" applyFont="1" applyFill="1" applyBorder="1" applyAlignment="1">
      <alignment wrapText="1"/>
    </xf>
    <xf numFmtId="0" fontId="8" fillId="0" borderId="18" xfId="1" applyFont="1" applyBorder="1" applyAlignment="1">
      <alignment wrapText="1"/>
    </xf>
    <xf numFmtId="0" fontId="8" fillId="0" borderId="19" xfId="1" applyFont="1" applyBorder="1" applyAlignment="1">
      <alignment wrapText="1"/>
    </xf>
    <xf numFmtId="0" fontId="7" fillId="0" borderId="17" xfId="1" applyFont="1" applyFill="1" applyBorder="1" applyAlignment="1">
      <alignment horizontal="left" vertical="center"/>
    </xf>
    <xf numFmtId="0" fontId="7" fillId="0" borderId="18" xfId="1" applyFont="1" applyFill="1" applyBorder="1" applyAlignment="1">
      <alignment horizontal="left" vertical="center"/>
    </xf>
    <xf numFmtId="0" fontId="7" fillId="0" borderId="19" xfId="1" applyFont="1" applyFill="1" applyBorder="1" applyAlignment="1">
      <alignment horizontal="left" vertical="center"/>
    </xf>
    <xf numFmtId="0" fontId="6" fillId="0" borderId="23" xfId="1" applyFont="1" applyFill="1" applyBorder="1" applyAlignment="1">
      <alignment horizontal="left" vertical="center"/>
    </xf>
    <xf numFmtId="0" fontId="6" fillId="0" borderId="24" xfId="1" applyFont="1" applyFill="1" applyBorder="1" applyAlignment="1">
      <alignment horizontal="left" vertical="center"/>
    </xf>
    <xf numFmtId="0" fontId="6" fillId="0" borderId="25" xfId="1" applyFont="1" applyFill="1" applyBorder="1" applyAlignment="1">
      <alignment horizontal="left" vertical="center"/>
    </xf>
    <xf numFmtId="0" fontId="3" fillId="0" borderId="17" xfId="1" applyFont="1" applyFill="1" applyBorder="1" applyAlignment="1">
      <alignment vertical="center" wrapText="1"/>
    </xf>
    <xf numFmtId="0" fontId="8" fillId="0" borderId="18" xfId="1" applyFont="1" applyFill="1" applyBorder="1" applyAlignment="1">
      <alignment vertical="center" wrapText="1"/>
    </xf>
    <xf numFmtId="0" fontId="8" fillId="0" borderId="19" xfId="1" applyFont="1" applyFill="1" applyBorder="1" applyAlignment="1">
      <alignment vertical="center" wrapText="1"/>
    </xf>
    <xf numFmtId="0" fontId="8" fillId="0" borderId="18" xfId="1" applyFont="1" applyFill="1" applyBorder="1" applyAlignment="1">
      <alignment horizontal="left" vertical="center" wrapText="1"/>
    </xf>
    <xf numFmtId="0" fontId="8" fillId="0" borderId="19" xfId="1" applyFont="1" applyFill="1" applyBorder="1" applyAlignment="1">
      <alignment horizontal="left" vertical="center" wrapText="1"/>
    </xf>
    <xf numFmtId="0" fontId="6" fillId="0" borderId="23" xfId="1" applyFont="1" applyFill="1" applyBorder="1" applyAlignment="1">
      <alignment horizontal="left" vertical="center" wrapText="1"/>
    </xf>
    <xf numFmtId="0" fontId="6" fillId="0" borderId="24" xfId="1" applyFont="1" applyFill="1" applyBorder="1" applyAlignment="1">
      <alignment horizontal="left" vertical="center" wrapText="1"/>
    </xf>
    <xf numFmtId="0" fontId="6" fillId="0" borderId="25" xfId="1" applyFont="1" applyFill="1" applyBorder="1" applyAlignment="1">
      <alignment horizontal="left" vertical="center" wrapText="1"/>
    </xf>
    <xf numFmtId="0" fontId="6" fillId="0" borderId="28" xfId="1" applyFont="1" applyFill="1" applyBorder="1" applyAlignment="1">
      <alignment horizontal="left" vertical="center" wrapText="1"/>
    </xf>
    <xf numFmtId="0" fontId="6" fillId="0" borderId="29" xfId="1" applyFont="1" applyFill="1" applyBorder="1" applyAlignment="1">
      <alignment horizontal="left" vertical="center" wrapText="1"/>
    </xf>
    <xf numFmtId="0" fontId="6" fillId="0" borderId="30" xfId="1" applyFont="1" applyFill="1" applyBorder="1" applyAlignment="1">
      <alignment horizontal="left" vertical="center" wrapText="1"/>
    </xf>
    <xf numFmtId="0" fontId="6" fillId="0" borderId="44" xfId="1" applyFont="1" applyFill="1" applyBorder="1" applyAlignment="1">
      <alignment horizontal="left" vertical="center" wrapText="1"/>
    </xf>
    <xf numFmtId="0" fontId="6" fillId="0" borderId="43" xfId="1" applyFont="1" applyFill="1" applyBorder="1" applyAlignment="1">
      <alignment horizontal="left" vertical="center" wrapText="1"/>
    </xf>
    <xf numFmtId="0" fontId="6" fillId="0" borderId="45" xfId="1" applyFont="1" applyFill="1" applyBorder="1" applyAlignment="1">
      <alignment horizontal="left" vertical="center" wrapText="1"/>
    </xf>
    <xf numFmtId="0" fontId="13" fillId="0" borderId="28" xfId="1" applyFont="1" applyFill="1" applyBorder="1" applyAlignment="1">
      <alignment horizontal="left" vertical="center" wrapText="1"/>
    </xf>
    <xf numFmtId="0" fontId="13" fillId="0" borderId="29" xfId="1" applyFont="1" applyFill="1" applyBorder="1" applyAlignment="1">
      <alignment horizontal="left" vertical="center" wrapText="1"/>
    </xf>
    <xf numFmtId="0" fontId="13" fillId="0" borderId="30" xfId="1" applyFont="1" applyFill="1" applyBorder="1" applyAlignment="1">
      <alignment horizontal="left" vertical="center" wrapText="1"/>
    </xf>
    <xf numFmtId="0" fontId="7" fillId="0" borderId="17" xfId="1" applyFont="1" applyFill="1" applyBorder="1" applyAlignment="1">
      <alignment vertical="center" wrapText="1"/>
    </xf>
    <xf numFmtId="0" fontId="6" fillId="0" borderId="18" xfId="1" applyFont="1" applyFill="1" applyBorder="1" applyAlignment="1">
      <alignment vertical="center" wrapText="1"/>
    </xf>
    <xf numFmtId="0" fontId="6" fillId="0" borderId="19" xfId="1" applyFont="1" applyFill="1" applyBorder="1" applyAlignment="1">
      <alignment vertical="center" wrapText="1"/>
    </xf>
    <xf numFmtId="0" fontId="13" fillId="0" borderId="23" xfId="1" applyFont="1" applyFill="1" applyBorder="1" applyAlignment="1">
      <alignment horizontal="left" vertical="center" wrapText="1"/>
    </xf>
    <xf numFmtId="0" fontId="13" fillId="0" borderId="24" xfId="1" applyFont="1" applyFill="1" applyBorder="1" applyAlignment="1">
      <alignment horizontal="left" vertical="center" wrapText="1"/>
    </xf>
    <xf numFmtId="0" fontId="13" fillId="0" borderId="25" xfId="1" applyFont="1" applyFill="1" applyBorder="1" applyAlignment="1">
      <alignment horizontal="left" vertical="center" wrapText="1"/>
    </xf>
    <xf numFmtId="0" fontId="6" fillId="0" borderId="34" xfId="1" applyFont="1" applyFill="1" applyBorder="1" applyAlignment="1">
      <alignment horizontal="left" vertical="center" wrapText="1"/>
    </xf>
    <xf numFmtId="0" fontId="6" fillId="0" borderId="35" xfId="1" applyFont="1" applyFill="1" applyBorder="1" applyAlignment="1">
      <alignment horizontal="left" vertical="center" wrapText="1"/>
    </xf>
    <xf numFmtId="0" fontId="6" fillId="0" borderId="36" xfId="1" applyFont="1" applyFill="1" applyBorder="1" applyAlignment="1">
      <alignment horizontal="left" vertical="center" wrapText="1"/>
    </xf>
    <xf numFmtId="0" fontId="13" fillId="0" borderId="46" xfId="1" applyFont="1" applyFill="1" applyBorder="1" applyAlignment="1">
      <alignment horizontal="left" vertical="center" wrapText="1"/>
    </xf>
    <xf numFmtId="0" fontId="13" fillId="0" borderId="47" xfId="1" applyFont="1" applyFill="1" applyBorder="1" applyAlignment="1">
      <alignment horizontal="left" vertical="center" wrapText="1"/>
    </xf>
    <xf numFmtId="0" fontId="13" fillId="0" borderId="48" xfId="1" applyFont="1" applyFill="1" applyBorder="1" applyAlignment="1">
      <alignment horizontal="left" vertical="center" wrapText="1"/>
    </xf>
    <xf numFmtId="0" fontId="7" fillId="0" borderId="46" xfId="1" applyFont="1" applyFill="1" applyBorder="1" applyAlignment="1">
      <alignment horizontal="left" vertical="center" wrapText="1"/>
    </xf>
    <xf numFmtId="0" fontId="6" fillId="0" borderId="47" xfId="1" applyFont="1" applyFill="1" applyBorder="1" applyAlignment="1">
      <alignment horizontal="left" vertical="center" wrapText="1"/>
    </xf>
    <xf numFmtId="0" fontId="6" fillId="0" borderId="48" xfId="1" applyFont="1" applyFill="1" applyBorder="1" applyAlignment="1">
      <alignment horizontal="left" vertical="center" wrapText="1"/>
    </xf>
    <xf numFmtId="0" fontId="13" fillId="0" borderId="44" xfId="1" applyFont="1" applyFill="1" applyBorder="1" applyAlignment="1">
      <alignment horizontal="left" vertical="center" wrapText="1"/>
    </xf>
    <xf numFmtId="0" fontId="13" fillId="0" borderId="43" xfId="1" applyFont="1" applyFill="1" applyBorder="1" applyAlignment="1">
      <alignment horizontal="left" vertical="center" wrapText="1"/>
    </xf>
    <xf numFmtId="0" fontId="13" fillId="0" borderId="45" xfId="1" applyFont="1" applyFill="1" applyBorder="1" applyAlignment="1">
      <alignment horizontal="left" vertical="center" wrapText="1"/>
    </xf>
    <xf numFmtId="0" fontId="7" fillId="0" borderId="39" xfId="1" applyFont="1" applyFill="1" applyBorder="1" applyAlignment="1">
      <alignment vertical="center" wrapText="1"/>
    </xf>
    <xf numFmtId="0" fontId="7" fillId="0" borderId="5" xfId="1" applyFont="1" applyFill="1" applyBorder="1" applyAlignment="1">
      <alignment vertical="center" wrapText="1"/>
    </xf>
    <xf numFmtId="0" fontId="7" fillId="0" borderId="40" xfId="1" applyFont="1" applyFill="1" applyBorder="1" applyAlignment="1">
      <alignment vertical="center" wrapText="1"/>
    </xf>
    <xf numFmtId="0" fontId="7" fillId="0" borderId="34" xfId="1" applyFont="1" applyFill="1" applyBorder="1" applyAlignment="1">
      <alignment horizontal="left" vertical="center"/>
    </xf>
    <xf numFmtId="0" fontId="7" fillId="0" borderId="35" xfId="1" applyFont="1" applyFill="1" applyBorder="1" applyAlignment="1">
      <alignment horizontal="left" vertical="center"/>
    </xf>
    <xf numFmtId="0" fontId="7" fillId="0" borderId="36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left"/>
    </xf>
    <xf numFmtId="0" fontId="5" fillId="0" borderId="0" xfId="1" applyFont="1" applyFill="1" applyBorder="1" applyAlignment="1">
      <alignment horizontal="center"/>
    </xf>
    <xf numFmtId="0" fontId="10" fillId="0" borderId="0" xfId="1" applyFont="1" applyFill="1" applyAlignment="1">
      <alignment horizontal="left"/>
    </xf>
    <xf numFmtId="0" fontId="11" fillId="0" borderId="0" xfId="1" applyFont="1" applyFill="1" applyAlignment="1">
      <alignment horizontal="right"/>
    </xf>
    <xf numFmtId="0" fontId="1" fillId="0" borderId="0" xfId="1"/>
    <xf numFmtId="0" fontId="5" fillId="5" borderId="74" xfId="3" applyFont="1" applyFill="1" applyBorder="1" applyAlignment="1">
      <alignment horizontal="center" vertical="center" wrapText="1"/>
    </xf>
    <xf numFmtId="0" fontId="5" fillId="5" borderId="9" xfId="3" applyFont="1" applyFill="1" applyBorder="1" applyAlignment="1">
      <alignment horizontal="center" vertical="center" wrapText="1"/>
    </xf>
    <xf numFmtId="0" fontId="5" fillId="5" borderId="26" xfId="3" applyFont="1" applyFill="1" applyBorder="1" applyAlignment="1">
      <alignment horizontal="center" vertical="center" wrapText="1"/>
    </xf>
    <xf numFmtId="0" fontId="5" fillId="5" borderId="75" xfId="3" applyFont="1" applyFill="1" applyBorder="1" applyAlignment="1">
      <alignment horizontal="center" vertical="center" wrapText="1"/>
    </xf>
    <xf numFmtId="0" fontId="5" fillId="5" borderId="76" xfId="3" applyFont="1" applyFill="1" applyBorder="1" applyAlignment="1">
      <alignment horizontal="center" vertical="center" wrapText="1"/>
    </xf>
    <xf numFmtId="0" fontId="5" fillId="5" borderId="12" xfId="3" applyFont="1" applyFill="1" applyBorder="1" applyAlignment="1">
      <alignment horizontal="center" vertical="center" wrapText="1"/>
    </xf>
    <xf numFmtId="0" fontId="5" fillId="5" borderId="78" xfId="3" applyFont="1" applyFill="1" applyBorder="1" applyAlignment="1">
      <alignment horizontal="center" vertical="center" wrapText="1"/>
    </xf>
    <xf numFmtId="0" fontId="5" fillId="5" borderId="10" xfId="3" applyFont="1" applyFill="1" applyBorder="1" applyAlignment="1">
      <alignment horizontal="center" vertical="center"/>
    </xf>
    <xf numFmtId="0" fontId="5" fillId="5" borderId="26" xfId="3" applyFont="1" applyFill="1" applyBorder="1" applyAlignment="1">
      <alignment horizontal="center" vertical="center"/>
    </xf>
    <xf numFmtId="0" fontId="5" fillId="5" borderId="79" xfId="3" applyFont="1" applyFill="1" applyBorder="1" applyAlignment="1">
      <alignment horizontal="center" wrapText="1"/>
    </xf>
    <xf numFmtId="0" fontId="5" fillId="5" borderId="81" xfId="3" applyFont="1" applyFill="1" applyBorder="1" applyAlignment="1">
      <alignment horizontal="center" wrapText="1"/>
    </xf>
    <xf numFmtId="0" fontId="15" fillId="0" borderId="0" xfId="3" applyFont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Fill="1" applyBorder="1" applyAlignment="1">
      <alignment horizontal="center"/>
    </xf>
    <xf numFmtId="0" fontId="3" fillId="5" borderId="73" xfId="3" applyFont="1" applyFill="1" applyBorder="1" applyAlignment="1">
      <alignment horizontal="center"/>
    </xf>
    <xf numFmtId="0" fontId="3" fillId="5" borderId="77" xfId="3" applyFont="1" applyFill="1" applyBorder="1" applyAlignment="1">
      <alignment horizontal="center"/>
    </xf>
    <xf numFmtId="0" fontId="3" fillId="5" borderId="80" xfId="3" applyFont="1" applyFill="1" applyBorder="1" applyAlignment="1">
      <alignment horizontal="center"/>
    </xf>
    <xf numFmtId="0" fontId="6" fillId="5" borderId="10" xfId="3" applyFont="1" applyFill="1" applyBorder="1" applyAlignment="1">
      <alignment horizontal="center" vertical="center" wrapText="1"/>
    </xf>
    <xf numFmtId="0" fontId="6" fillId="5" borderId="9" xfId="3" applyFont="1" applyFill="1" applyBorder="1" applyAlignment="1">
      <alignment horizontal="center" vertical="center" wrapText="1"/>
    </xf>
    <xf numFmtId="0" fontId="6" fillId="5" borderId="26" xfId="3" applyFont="1" applyFill="1" applyBorder="1" applyAlignment="1">
      <alignment horizontal="center" vertical="center" wrapText="1"/>
    </xf>
    <xf numFmtId="0" fontId="6" fillId="5" borderId="11" xfId="3" applyFont="1" applyFill="1" applyBorder="1" applyAlignment="1">
      <alignment horizontal="center" vertical="center" wrapText="1"/>
    </xf>
    <xf numFmtId="0" fontId="6" fillId="5" borderId="45" xfId="3" applyFont="1" applyFill="1" applyBorder="1" applyAlignment="1">
      <alignment horizontal="center" vertical="center" wrapText="1"/>
    </xf>
    <xf numFmtId="0" fontId="6" fillId="5" borderId="12" xfId="3" applyFont="1" applyFill="1" applyBorder="1" applyAlignment="1">
      <alignment horizontal="center" vertical="center" wrapText="1"/>
    </xf>
    <xf numFmtId="0" fontId="6" fillId="5" borderId="25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17" fillId="0" borderId="0" xfId="3" applyFont="1" applyAlignment="1">
      <alignment horizontal="right"/>
    </xf>
    <xf numFmtId="0" fontId="19" fillId="0" borderId="0" xfId="3" applyFont="1" applyBorder="1" applyAlignment="1">
      <alignment horizontal="center"/>
    </xf>
    <xf numFmtId="0" fontId="17" fillId="0" borderId="0" xfId="3" applyFont="1" applyAlignment="1">
      <alignment horizontal="left"/>
    </xf>
    <xf numFmtId="0" fontId="6" fillId="5" borderId="109" xfId="3" applyFont="1" applyFill="1" applyBorder="1" applyAlignment="1">
      <alignment horizontal="center"/>
    </xf>
    <xf numFmtId="0" fontId="6" fillId="5" borderId="110" xfId="3" applyFont="1" applyFill="1" applyBorder="1" applyAlignment="1">
      <alignment horizontal="center"/>
    </xf>
    <xf numFmtId="0" fontId="6" fillId="5" borderId="116" xfId="3" applyFont="1" applyFill="1" applyBorder="1" applyAlignment="1">
      <alignment horizontal="center"/>
    </xf>
    <xf numFmtId="0" fontId="6" fillId="5" borderId="115" xfId="3" applyFont="1" applyFill="1" applyBorder="1" applyAlignment="1">
      <alignment horizontal="center"/>
    </xf>
    <xf numFmtId="0" fontId="6" fillId="5" borderId="117" xfId="3" applyFont="1" applyFill="1" applyBorder="1" applyAlignment="1">
      <alignment horizontal="center"/>
    </xf>
    <xf numFmtId="0" fontId="5" fillId="5" borderId="10" xfId="4" applyFont="1" applyFill="1" applyBorder="1" applyAlignment="1">
      <alignment horizontal="center" vertical="center" wrapText="1"/>
    </xf>
    <xf numFmtId="0" fontId="5" fillId="5" borderId="9" xfId="4" applyFont="1" applyFill="1" applyBorder="1" applyAlignment="1">
      <alignment horizontal="center" vertical="center" wrapText="1"/>
    </xf>
    <xf numFmtId="0" fontId="5" fillId="5" borderId="26" xfId="4" applyFont="1" applyFill="1" applyBorder="1" applyAlignment="1">
      <alignment horizontal="center" vertical="center" wrapText="1"/>
    </xf>
    <xf numFmtId="0" fontId="5" fillId="5" borderId="11" xfId="4" applyFont="1" applyFill="1" applyBorder="1" applyAlignment="1">
      <alignment horizontal="center" wrapText="1"/>
    </xf>
    <xf numFmtId="0" fontId="5" fillId="5" borderId="45" xfId="4" applyFont="1" applyFill="1" applyBorder="1" applyAlignment="1">
      <alignment horizontal="center" wrapText="1"/>
    </xf>
    <xf numFmtId="0" fontId="5" fillId="5" borderId="12" xfId="4" applyFont="1" applyFill="1" applyBorder="1" applyAlignment="1">
      <alignment horizontal="center" wrapText="1"/>
    </xf>
    <xf numFmtId="0" fontId="5" fillId="5" borderId="25" xfId="4" applyFont="1" applyFill="1" applyBorder="1" applyAlignment="1">
      <alignment horizontal="center" wrapText="1"/>
    </xf>
    <xf numFmtId="0" fontId="5" fillId="5" borderId="10" xfId="4" applyFont="1" applyFill="1" applyBorder="1" applyAlignment="1">
      <alignment horizontal="center" vertical="center"/>
    </xf>
    <xf numFmtId="0" fontId="5" fillId="5" borderId="26" xfId="4" applyFont="1" applyFill="1" applyBorder="1" applyAlignment="1">
      <alignment horizontal="center" vertical="center"/>
    </xf>
    <xf numFmtId="0" fontId="19" fillId="0" borderId="0" xfId="4" applyFont="1" applyAlignment="1">
      <alignment horizontal="center"/>
    </xf>
    <xf numFmtId="0" fontId="22" fillId="0" borderId="0" xfId="4" applyFont="1" applyAlignment="1">
      <alignment horizontal="center"/>
    </xf>
    <xf numFmtId="0" fontId="23" fillId="0" borderId="0" xfId="4" applyFont="1" applyAlignment="1">
      <alignment horizontal="center"/>
    </xf>
    <xf numFmtId="0" fontId="3" fillId="5" borderId="10" xfId="4" applyFont="1" applyFill="1" applyBorder="1" applyAlignment="1">
      <alignment horizontal="center"/>
    </xf>
    <xf numFmtId="0" fontId="3" fillId="5" borderId="9" xfId="4" applyFont="1" applyFill="1" applyBorder="1" applyAlignment="1">
      <alignment horizontal="center"/>
    </xf>
    <xf numFmtId="0" fontId="3" fillId="5" borderId="26" xfId="4" applyFont="1" applyFill="1" applyBorder="1" applyAlignment="1">
      <alignment horizontal="center"/>
    </xf>
    <xf numFmtId="0" fontId="15" fillId="0" borderId="0" xfId="4" applyFont="1" applyAlignment="1">
      <alignment horizontal="center"/>
    </xf>
    <xf numFmtId="0" fontId="17" fillId="0" borderId="0" xfId="4" applyFont="1" applyAlignment="1">
      <alignment horizontal="center"/>
    </xf>
    <xf numFmtId="0" fontId="17" fillId="0" borderId="0" xfId="4" applyFont="1" applyFill="1" applyBorder="1" applyAlignment="1">
      <alignment horizontal="center"/>
    </xf>
    <xf numFmtId="0" fontId="5" fillId="5" borderId="11" xfId="4" applyFont="1" applyFill="1" applyBorder="1" applyAlignment="1">
      <alignment horizontal="center" vertical="center" wrapText="1"/>
    </xf>
    <xf numFmtId="0" fontId="5" fillId="5" borderId="45" xfId="4" applyFont="1" applyFill="1" applyBorder="1" applyAlignment="1">
      <alignment horizontal="center" vertical="center" wrapText="1"/>
    </xf>
    <xf numFmtId="0" fontId="5" fillId="5" borderId="12" xfId="4" applyFont="1" applyFill="1" applyBorder="1" applyAlignment="1">
      <alignment horizontal="center" vertical="center" wrapText="1"/>
    </xf>
    <xf numFmtId="0" fontId="5" fillId="5" borderId="25" xfId="4" applyFont="1" applyFill="1" applyBorder="1" applyAlignment="1">
      <alignment horizontal="center" vertical="center" wrapText="1"/>
    </xf>
    <xf numFmtId="0" fontId="6" fillId="5" borderId="10" xfId="4" applyFont="1" applyFill="1" applyBorder="1" applyAlignment="1">
      <alignment horizontal="center" vertical="center" wrapText="1"/>
    </xf>
    <xf numFmtId="0" fontId="6" fillId="5" borderId="9" xfId="4" applyFont="1" applyFill="1" applyBorder="1" applyAlignment="1">
      <alignment horizontal="center" vertical="center" wrapText="1"/>
    </xf>
    <xf numFmtId="0" fontId="6" fillId="5" borderId="26" xfId="4" applyFont="1" applyFill="1" applyBorder="1" applyAlignment="1">
      <alignment horizontal="center" vertical="center" wrapText="1"/>
    </xf>
    <xf numFmtId="0" fontId="6" fillId="5" borderId="15" xfId="4" applyFont="1" applyFill="1" applyBorder="1" applyAlignment="1">
      <alignment horizontal="center" vertical="center" wrapText="1"/>
    </xf>
    <xf numFmtId="0" fontId="6" fillId="5" borderId="16" xfId="4" applyFont="1" applyFill="1" applyBorder="1" applyAlignment="1">
      <alignment horizontal="center" vertical="center" wrapText="1"/>
    </xf>
    <xf numFmtId="0" fontId="6" fillId="5" borderId="33" xfId="4" applyFont="1" applyFill="1" applyBorder="1" applyAlignment="1">
      <alignment horizontal="center" vertical="center" wrapText="1"/>
    </xf>
    <xf numFmtId="0" fontId="6" fillId="5" borderId="67" xfId="4" applyFont="1" applyFill="1" applyBorder="1" applyAlignment="1">
      <alignment horizontal="center"/>
    </xf>
    <xf numFmtId="0" fontId="6" fillId="5" borderId="68" xfId="4" applyFont="1" applyFill="1" applyBorder="1" applyAlignment="1">
      <alignment horizontal="center"/>
    </xf>
    <xf numFmtId="0" fontId="6" fillId="5" borderId="69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/>
    </xf>
    <xf numFmtId="0" fontId="6" fillId="5" borderId="5" xfId="4" applyFont="1" applyFill="1" applyBorder="1" applyAlignment="1">
      <alignment horizontal="center"/>
    </xf>
    <xf numFmtId="0" fontId="6" fillId="5" borderId="27" xfId="4" applyFont="1" applyFill="1" applyBorder="1" applyAlignment="1">
      <alignment horizontal="center"/>
    </xf>
    <xf numFmtId="0" fontId="15" fillId="0" borderId="0" xfId="4" applyFont="1" applyAlignment="1">
      <alignment horizontal="center" vertical="center" wrapText="1"/>
    </xf>
    <xf numFmtId="0" fontId="17" fillId="0" borderId="0" xfId="4" applyFont="1" applyAlignment="1">
      <alignment horizontal="right"/>
    </xf>
    <xf numFmtId="0" fontId="6" fillId="5" borderId="10" xfId="4" applyFont="1" applyFill="1" applyBorder="1" applyAlignment="1">
      <alignment horizontal="center" vertical="center"/>
    </xf>
    <xf numFmtId="0" fontId="6" fillId="5" borderId="9" xfId="4" applyFont="1" applyFill="1" applyBorder="1" applyAlignment="1">
      <alignment horizontal="center" vertical="center"/>
    </xf>
    <xf numFmtId="0" fontId="6" fillId="5" borderId="26" xfId="4" applyFont="1" applyFill="1" applyBorder="1" applyAlignment="1">
      <alignment horizontal="center" vertical="center"/>
    </xf>
    <xf numFmtId="0" fontId="6" fillId="5" borderId="52" xfId="4" applyFont="1" applyFill="1" applyBorder="1" applyAlignment="1">
      <alignment horizontal="center"/>
    </xf>
    <xf numFmtId="0" fontId="6" fillId="5" borderId="29" xfId="4" applyFont="1" applyFill="1" applyBorder="1" applyAlignment="1">
      <alignment horizontal="center"/>
    </xf>
    <xf numFmtId="0" fontId="6" fillId="5" borderId="30" xfId="4" applyFont="1" applyFill="1" applyBorder="1" applyAlignment="1">
      <alignment horizontal="center"/>
    </xf>
    <xf numFmtId="0" fontId="6" fillId="0" borderId="29" xfId="4" applyFont="1" applyBorder="1" applyAlignment="1">
      <alignment horizontal="center"/>
    </xf>
    <xf numFmtId="0" fontId="6" fillId="0" borderId="30" xfId="4" applyFon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6" fillId="5" borderId="9" xfId="4" applyFont="1" applyFill="1" applyBorder="1" applyAlignment="1">
      <alignment horizontal="center"/>
    </xf>
    <xf numFmtId="0" fontId="6" fillId="5" borderId="26" xfId="4" applyFont="1" applyFill="1" applyBorder="1" applyAlignment="1">
      <alignment horizontal="center"/>
    </xf>
    <xf numFmtId="0" fontId="6" fillId="5" borderId="12" xfId="4" applyFont="1" applyFill="1" applyBorder="1" applyAlignment="1">
      <alignment horizontal="center"/>
    </xf>
    <xf numFmtId="0" fontId="6" fillId="5" borderId="24" xfId="4" applyFont="1" applyFill="1" applyBorder="1" applyAlignment="1">
      <alignment horizontal="center"/>
    </xf>
    <xf numFmtId="0" fontId="6" fillId="5" borderId="25" xfId="4" applyFont="1" applyFill="1" applyBorder="1" applyAlignment="1">
      <alignment horizontal="center"/>
    </xf>
    <xf numFmtId="0" fontId="7" fillId="5" borderId="10" xfId="4" applyFont="1" applyFill="1" applyBorder="1" applyAlignment="1">
      <alignment horizontal="center" vertical="center" wrapText="1"/>
    </xf>
    <xf numFmtId="0" fontId="28" fillId="0" borderId="0" xfId="3" applyFont="1" applyBorder="1" applyAlignment="1">
      <alignment horizontal="center"/>
    </xf>
    <xf numFmtId="0" fontId="20" fillId="0" borderId="0" xfId="4" applyFont="1" applyAlignment="1">
      <alignment horizontal="center"/>
    </xf>
    <xf numFmtId="0" fontId="6" fillId="5" borderId="11" xfId="4" applyFont="1" applyFill="1" applyBorder="1" applyAlignment="1">
      <alignment horizontal="center" vertical="center" wrapText="1"/>
    </xf>
    <xf numFmtId="0" fontId="6" fillId="5" borderId="45" xfId="4" applyFont="1" applyFill="1" applyBorder="1" applyAlignment="1">
      <alignment horizontal="center" vertical="center" wrapText="1"/>
    </xf>
    <xf numFmtId="0" fontId="6" fillId="5" borderId="12" xfId="4" applyFont="1" applyFill="1" applyBorder="1" applyAlignment="1">
      <alignment horizontal="center" vertical="center" wrapText="1"/>
    </xf>
    <xf numFmtId="0" fontId="6" fillId="5" borderId="25" xfId="4" applyFont="1" applyFill="1" applyBorder="1" applyAlignment="1">
      <alignment horizontal="center" vertical="center" wrapText="1"/>
    </xf>
    <xf numFmtId="0" fontId="2" fillId="0" borderId="0" xfId="4" applyFont="1" applyAlignment="1">
      <alignment horizontal="center"/>
    </xf>
    <xf numFmtId="0" fontId="2" fillId="0" borderId="0" xfId="4" applyFont="1" applyBorder="1" applyAlignment="1">
      <alignment horizontal="center"/>
    </xf>
    <xf numFmtId="0" fontId="37" fillId="0" borderId="0" xfId="4" applyFont="1" applyAlignment="1">
      <alignment horizontal="center"/>
    </xf>
    <xf numFmtId="0" fontId="2" fillId="0" borderId="0" xfId="4" applyFont="1" applyFill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25" xfId="4" applyFont="1" applyBorder="1" applyAlignment="1">
      <alignment horizontal="center"/>
    </xf>
    <xf numFmtId="0" fontId="18" fillId="0" borderId="11" xfId="4" applyFont="1" applyBorder="1" applyAlignment="1">
      <alignment horizontal="center"/>
    </xf>
    <xf numFmtId="0" fontId="18" fillId="0" borderId="45" xfId="4" applyFont="1" applyBorder="1" applyAlignment="1">
      <alignment horizontal="center"/>
    </xf>
    <xf numFmtId="0" fontId="15" fillId="0" borderId="0" xfId="4" applyFont="1" applyAlignment="1">
      <alignment horizontal="center" wrapText="1"/>
    </xf>
    <xf numFmtId="0" fontId="30" fillId="0" borderId="14" xfId="4" applyFont="1" applyBorder="1" applyAlignment="1">
      <alignment horizontal="center"/>
    </xf>
    <xf numFmtId="0" fontId="30" fillId="0" borderId="0" xfId="4" applyFont="1" applyBorder="1" applyAlignment="1">
      <alignment horizontal="center"/>
    </xf>
    <xf numFmtId="0" fontId="30" fillId="0" borderId="53" xfId="4" applyFont="1" applyBorder="1" applyAlignment="1">
      <alignment horizontal="center"/>
    </xf>
    <xf numFmtId="0" fontId="30" fillId="0" borderId="14" xfId="4" applyFont="1" applyFill="1" applyBorder="1" applyAlignment="1">
      <alignment horizontal="center"/>
    </xf>
    <xf numFmtId="0" fontId="30" fillId="0" borderId="0" xfId="4" applyFont="1" applyFill="1" applyBorder="1" applyAlignment="1">
      <alignment horizontal="center"/>
    </xf>
    <xf numFmtId="0" fontId="30" fillId="0" borderId="53" xfId="4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</cellXfs>
  <cellStyles count="7">
    <cellStyle name="Įprastas" xfId="0" builtinId="0"/>
    <cellStyle name="Įprastas 2" xfId="1"/>
    <cellStyle name="Įprastas 2 2" xfId="3"/>
    <cellStyle name="Įprastas 2 2 2" xfId="5"/>
    <cellStyle name="Įprastas 3" xfId="4"/>
    <cellStyle name="Įprastas 3 2" xfId="6"/>
    <cellStyle name="Valiut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47625</xdr:colOff>
      <xdr:row>2</xdr:row>
      <xdr:rowOff>0</xdr:rowOff>
    </xdr:from>
    <xdr:to>
      <xdr:col>19</xdr:col>
      <xdr:colOff>47625</xdr:colOff>
      <xdr:row>2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 flipV="1">
          <a:off x="6791325" y="4857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osurk/Desktop/2013%20stat/statistika2013/2013_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ŠĮB"/>
      <sheetName val="SAV+VALST+NEVALST"/>
      <sheetName val="SAV_BUMB"/>
      <sheetName val="PROGIMNAZIJŲ"/>
      <sheetName val="GIMNAZIJŲ"/>
      <sheetName val="VIDURINIŲ"/>
      <sheetName val="PAGRINDINIŲ"/>
      <sheetName val="PRADINIŲ"/>
      <sheetName val="NEVALST_BUMB"/>
      <sheetName val="NEVALST_GB"/>
      <sheetName val="NEVALST_VMB"/>
      <sheetName val="VALST_BUMB"/>
      <sheetName val="VALST_GB"/>
      <sheetName val="VALST_VIDMB"/>
      <sheetName val="VALST_PgMB"/>
      <sheetName val="NVŠĮB"/>
      <sheetName val="PŠCB"/>
      <sheetName val="VGN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</sheetData>
      <sheetData sheetId="10" refreshError="1"/>
      <sheetData sheetId="11" refreshError="1"/>
      <sheetData sheetId="12" refreshError="1"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</sheetData>
      <sheetData sheetId="13" refreshError="1"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</sheetData>
      <sheetData sheetId="14" refreshError="1"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93"/>
  <sheetViews>
    <sheetView topLeftCell="B1" zoomScaleNormal="100" workbookViewId="0">
      <selection activeCell="W38" sqref="W38"/>
    </sheetView>
  </sheetViews>
  <sheetFormatPr defaultColWidth="9.140625" defaultRowHeight="15.6" customHeight="1" x14ac:dyDescent="0.2"/>
  <cols>
    <col min="1" max="1" width="9.140625" style="8"/>
    <col min="2" max="2" width="8" style="8" customWidth="1"/>
    <col min="3" max="3" width="8.42578125" style="8" customWidth="1"/>
    <col min="4" max="4" width="2.42578125" style="8" customWidth="1"/>
    <col min="5" max="5" width="2.28515625" style="8" customWidth="1"/>
    <col min="6" max="6" width="2.140625" style="8" customWidth="1"/>
    <col min="7" max="8" width="1.85546875" style="8" customWidth="1"/>
    <col min="9" max="10" width="1.140625" style="8" customWidth="1"/>
    <col min="11" max="11" width="1.42578125" style="8" customWidth="1"/>
    <col min="12" max="12" width="15.140625" style="8" customWidth="1"/>
    <col min="13" max="13" width="3.140625" style="8" customWidth="1"/>
    <col min="14" max="14" width="5.28515625" style="8" customWidth="1"/>
    <col min="15" max="15" width="8.42578125" style="8" customWidth="1"/>
    <col min="16" max="16" width="7" style="8" customWidth="1"/>
    <col min="17" max="18" width="8.7109375" style="8" customWidth="1"/>
    <col min="19" max="19" width="6.5703125" style="8" customWidth="1"/>
    <col min="20" max="20" width="5.7109375" style="8" customWidth="1"/>
    <col min="21" max="21" width="10.28515625" style="8" customWidth="1"/>
    <col min="22" max="16384" width="9.140625" style="8"/>
  </cols>
  <sheetData>
    <row r="2" spans="2:23" ht="23.25" customHeight="1" x14ac:dyDescent="0.2"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</row>
    <row r="3" spans="2:23" s="2" customFormat="1" ht="21.75" customHeight="1" x14ac:dyDescent="0.15">
      <c r="B3" s="811" t="s">
        <v>282</v>
      </c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1"/>
      <c r="W3" s="1"/>
    </row>
    <row r="4" spans="2:23" ht="6" customHeight="1" x14ac:dyDescent="0.2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6"/>
      <c r="Q4" s="5"/>
      <c r="R4" s="5"/>
      <c r="S4" s="5"/>
      <c r="T4" s="5"/>
      <c r="U4" s="5"/>
      <c r="V4" s="7"/>
      <c r="W4" s="7"/>
    </row>
    <row r="5" spans="2:23" s="2" customFormat="1" ht="13.5" customHeight="1" x14ac:dyDescent="0.15">
      <c r="B5" s="811" t="s">
        <v>0</v>
      </c>
      <c r="C5" s="811"/>
      <c r="D5" s="811"/>
      <c r="E5" s="811"/>
      <c r="F5" s="811"/>
      <c r="G5" s="811"/>
      <c r="H5" s="811"/>
      <c r="I5" s="811"/>
      <c r="J5" s="811"/>
      <c r="K5" s="811"/>
      <c r="L5" s="811"/>
      <c r="M5" s="811"/>
      <c r="N5" s="811"/>
      <c r="O5" s="811"/>
      <c r="P5" s="811"/>
      <c r="Q5" s="811"/>
      <c r="R5" s="811"/>
      <c r="S5" s="811"/>
      <c r="T5" s="811"/>
      <c r="U5" s="811"/>
    </row>
    <row r="6" spans="2:23" ht="15" customHeight="1" thickBot="1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10"/>
      <c r="O6" s="10"/>
      <c r="P6" s="10"/>
      <c r="Q6" s="11"/>
      <c r="R6" s="812" t="s">
        <v>1</v>
      </c>
      <c r="S6" s="813"/>
      <c r="T6" s="813"/>
      <c r="U6" s="813"/>
    </row>
    <row r="7" spans="2:23" ht="12" customHeight="1" x14ac:dyDescent="0.2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4"/>
      <c r="O7" s="814" t="s">
        <v>2</v>
      </c>
      <c r="P7" s="815"/>
      <c r="Q7" s="815"/>
      <c r="R7" s="815"/>
      <c r="S7" s="815"/>
      <c r="T7" s="816" t="s">
        <v>3</v>
      </c>
      <c r="U7" s="817"/>
    </row>
    <row r="8" spans="2:23" ht="12" customHeight="1" x14ac:dyDescent="0.2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7" t="s">
        <v>4</v>
      </c>
      <c r="N8" s="18" t="s">
        <v>5</v>
      </c>
      <c r="O8" s="19" t="s">
        <v>6</v>
      </c>
      <c r="P8" s="19" t="s">
        <v>7</v>
      </c>
      <c r="Q8" s="19" t="s">
        <v>6</v>
      </c>
      <c r="R8" s="19" t="s">
        <v>8</v>
      </c>
      <c r="S8" s="20" t="s">
        <v>9</v>
      </c>
      <c r="T8" s="818" t="s">
        <v>10</v>
      </c>
      <c r="U8" s="819"/>
    </row>
    <row r="9" spans="2:23" ht="12" customHeight="1" x14ac:dyDescent="0.2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18" t="s">
        <v>11</v>
      </c>
      <c r="N9" s="18" t="s">
        <v>12</v>
      </c>
      <c r="O9" s="18" t="s">
        <v>13</v>
      </c>
      <c r="P9" s="18" t="s">
        <v>14</v>
      </c>
      <c r="Q9" s="18" t="s">
        <v>15</v>
      </c>
      <c r="R9" s="18" t="s">
        <v>16</v>
      </c>
      <c r="S9" s="23" t="s">
        <v>17</v>
      </c>
      <c r="T9" s="19"/>
      <c r="U9" s="24" t="s">
        <v>18</v>
      </c>
    </row>
    <row r="10" spans="2:23" ht="12" customHeight="1" thickBot="1" x14ac:dyDescent="0.25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5"/>
      <c r="N10" s="18" t="s">
        <v>19</v>
      </c>
      <c r="O10" s="18" t="s">
        <v>20</v>
      </c>
      <c r="P10" s="18" t="s">
        <v>19</v>
      </c>
      <c r="Q10" s="18" t="s">
        <v>20</v>
      </c>
      <c r="R10" s="18" t="s">
        <v>19</v>
      </c>
      <c r="S10" s="23" t="s">
        <v>21</v>
      </c>
      <c r="T10" s="18" t="s">
        <v>22</v>
      </c>
      <c r="U10" s="26" t="s">
        <v>23</v>
      </c>
    </row>
    <row r="11" spans="2:23" ht="12" customHeight="1" thickBot="1" x14ac:dyDescent="0.25">
      <c r="B11" s="820"/>
      <c r="C11" s="821"/>
      <c r="D11" s="821"/>
      <c r="E11" s="821"/>
      <c r="F11" s="821"/>
      <c r="G11" s="821"/>
      <c r="H11" s="821"/>
      <c r="I11" s="821"/>
      <c r="J11" s="821"/>
      <c r="K11" s="821"/>
      <c r="L11" s="822"/>
      <c r="M11" s="27">
        <v>0</v>
      </c>
      <c r="N11" s="673">
        <v>1</v>
      </c>
      <c r="O11" s="28">
        <v>2</v>
      </c>
      <c r="P11" s="27">
        <v>3</v>
      </c>
      <c r="Q11" s="673">
        <v>4</v>
      </c>
      <c r="R11" s="27">
        <v>5</v>
      </c>
      <c r="S11" s="27">
        <v>6</v>
      </c>
      <c r="T11" s="27">
        <v>7</v>
      </c>
      <c r="U11" s="29">
        <v>8</v>
      </c>
    </row>
    <row r="12" spans="2:23" ht="27" customHeight="1" thickBot="1" x14ac:dyDescent="0.25">
      <c r="B12" s="823" t="s">
        <v>24</v>
      </c>
      <c r="C12" s="824"/>
      <c r="D12" s="824"/>
      <c r="E12" s="824"/>
      <c r="F12" s="824"/>
      <c r="G12" s="824"/>
      <c r="H12" s="824"/>
      <c r="I12" s="824"/>
      <c r="J12" s="824"/>
      <c r="K12" s="824"/>
      <c r="L12" s="825"/>
      <c r="M12" s="584">
        <v>1</v>
      </c>
      <c r="N12" s="549">
        <f t="shared" ref="N12:U12" si="0">SUM(N13,N14,N15,N16,N22,N23)</f>
        <v>1207</v>
      </c>
      <c r="O12" s="735">
        <f t="shared" si="0"/>
        <v>22549694</v>
      </c>
      <c r="P12" s="735">
        <f t="shared" si="0"/>
        <v>451905</v>
      </c>
      <c r="Q12" s="735">
        <f t="shared" si="0"/>
        <v>11539140</v>
      </c>
      <c r="R12" s="735">
        <f t="shared" si="0"/>
        <v>11421409</v>
      </c>
      <c r="S12" s="549">
        <f t="shared" si="0"/>
        <v>3054</v>
      </c>
      <c r="T12" s="549">
        <f t="shared" si="0"/>
        <v>1205</v>
      </c>
      <c r="U12" s="550">
        <f t="shared" si="0"/>
        <v>1205</v>
      </c>
      <c r="V12" s="21"/>
    </row>
    <row r="13" spans="2:23" ht="17.100000000000001" customHeight="1" x14ac:dyDescent="0.2">
      <c r="B13" s="826" t="s">
        <v>291</v>
      </c>
      <c r="C13" s="827"/>
      <c r="D13" s="827"/>
      <c r="E13" s="827"/>
      <c r="F13" s="827"/>
      <c r="G13" s="827"/>
      <c r="H13" s="827"/>
      <c r="I13" s="827"/>
      <c r="J13" s="827"/>
      <c r="K13" s="827"/>
      <c r="L13" s="828"/>
      <c r="M13" s="585">
        <v>2</v>
      </c>
      <c r="N13" s="620">
        <v>1</v>
      </c>
      <c r="O13" s="622">
        <v>6471869</v>
      </c>
      <c r="P13" s="622">
        <v>16312</v>
      </c>
      <c r="Q13" s="623">
        <v>558526</v>
      </c>
      <c r="R13" s="622">
        <v>3403376</v>
      </c>
      <c r="S13" s="621">
        <v>224</v>
      </c>
      <c r="T13" s="624">
        <v>1</v>
      </c>
      <c r="U13" s="625">
        <v>1</v>
      </c>
    </row>
    <row r="14" spans="2:23" ht="17.100000000000001" customHeight="1" x14ac:dyDescent="0.2">
      <c r="B14" s="807" t="s">
        <v>292</v>
      </c>
      <c r="C14" s="808"/>
      <c r="D14" s="808"/>
      <c r="E14" s="808"/>
      <c r="F14" s="808"/>
      <c r="G14" s="808"/>
      <c r="H14" s="808"/>
      <c r="I14" s="808"/>
      <c r="J14" s="808"/>
      <c r="K14" s="808"/>
      <c r="L14" s="809"/>
      <c r="M14" s="586">
        <v>3</v>
      </c>
      <c r="N14" s="626">
        <v>1</v>
      </c>
      <c r="O14" s="736">
        <v>238374</v>
      </c>
      <c r="P14" s="782">
        <v>7773</v>
      </c>
      <c r="Q14" s="736">
        <v>100268</v>
      </c>
      <c r="R14" s="736">
        <v>15753</v>
      </c>
      <c r="S14" s="627">
        <v>48</v>
      </c>
      <c r="T14" s="628">
        <v>1</v>
      </c>
      <c r="U14" s="629">
        <v>1</v>
      </c>
    </row>
    <row r="15" spans="2:23" ht="17.100000000000001" customHeight="1" x14ac:dyDescent="0.2">
      <c r="B15" s="807" t="s">
        <v>293</v>
      </c>
      <c r="C15" s="808"/>
      <c r="D15" s="808"/>
      <c r="E15" s="808"/>
      <c r="F15" s="808"/>
      <c r="G15" s="808"/>
      <c r="H15" s="808"/>
      <c r="I15" s="808"/>
      <c r="J15" s="808"/>
      <c r="K15" s="808"/>
      <c r="L15" s="809"/>
      <c r="M15" s="587">
        <v>4</v>
      </c>
      <c r="N15" s="318">
        <v>5</v>
      </c>
      <c r="O15" s="737">
        <v>3979859</v>
      </c>
      <c r="P15" s="738">
        <v>40620</v>
      </c>
      <c r="Q15" s="738">
        <v>961407</v>
      </c>
      <c r="R15" s="738">
        <v>693520</v>
      </c>
      <c r="S15" s="31">
        <v>386</v>
      </c>
      <c r="T15" s="318">
        <v>5</v>
      </c>
      <c r="U15" s="32">
        <v>5</v>
      </c>
    </row>
    <row r="16" spans="2:23" ht="23.1" customHeight="1" x14ac:dyDescent="0.2">
      <c r="B16" s="832" t="s">
        <v>294</v>
      </c>
      <c r="C16" s="833"/>
      <c r="D16" s="833"/>
      <c r="E16" s="833"/>
      <c r="F16" s="833"/>
      <c r="G16" s="833"/>
      <c r="H16" s="833"/>
      <c r="I16" s="833"/>
      <c r="J16" s="833"/>
      <c r="K16" s="833"/>
      <c r="L16" s="834"/>
      <c r="M16" s="588">
        <v>5</v>
      </c>
      <c r="N16" s="33">
        <f>SUM(N17,N18,N19,N20)</f>
        <v>1183</v>
      </c>
      <c r="O16" s="739">
        <f t="shared" ref="O16:U16" si="1">SUM(O17,O18,O19,O20)</f>
        <v>11306006</v>
      </c>
      <c r="P16" s="739">
        <f t="shared" si="1"/>
        <v>386164</v>
      </c>
      <c r="Q16" s="739">
        <f t="shared" si="1"/>
        <v>9907883</v>
      </c>
      <c r="R16" s="739">
        <f t="shared" si="1"/>
        <v>7298602</v>
      </c>
      <c r="S16" s="33">
        <f t="shared" si="1"/>
        <v>2379</v>
      </c>
      <c r="T16" s="33">
        <f>SUM(T17,T18,T19,T20)</f>
        <v>1183</v>
      </c>
      <c r="U16" s="34">
        <f t="shared" si="1"/>
        <v>1183</v>
      </c>
    </row>
    <row r="17" spans="2:23" ht="17.100000000000001" customHeight="1" x14ac:dyDescent="0.2">
      <c r="B17" s="807" t="s">
        <v>295</v>
      </c>
      <c r="C17" s="808"/>
      <c r="D17" s="808"/>
      <c r="E17" s="808"/>
      <c r="F17" s="808"/>
      <c r="G17" s="808"/>
      <c r="H17" s="808"/>
      <c r="I17" s="808"/>
      <c r="J17" s="808"/>
      <c r="K17" s="808"/>
      <c r="L17" s="809"/>
      <c r="M17" s="585" t="s">
        <v>25</v>
      </c>
      <c r="N17" s="30">
        <v>60</v>
      </c>
      <c r="O17" s="738">
        <v>3555456</v>
      </c>
      <c r="P17" s="740">
        <v>173087</v>
      </c>
      <c r="Q17" s="738">
        <v>3044929</v>
      </c>
      <c r="R17" s="740">
        <v>2469839</v>
      </c>
      <c r="S17" s="30">
        <v>1026</v>
      </c>
      <c r="T17" s="30">
        <v>60</v>
      </c>
      <c r="U17" s="35">
        <v>60</v>
      </c>
    </row>
    <row r="18" spans="2:23" ht="17.100000000000001" customHeight="1" x14ac:dyDescent="0.2">
      <c r="B18" s="807" t="s">
        <v>296</v>
      </c>
      <c r="C18" s="808"/>
      <c r="D18" s="808"/>
      <c r="E18" s="808"/>
      <c r="F18" s="808"/>
      <c r="G18" s="808"/>
      <c r="H18" s="808"/>
      <c r="I18" s="808"/>
      <c r="J18" s="808"/>
      <c r="K18" s="808"/>
      <c r="L18" s="809"/>
      <c r="M18" s="586" t="s">
        <v>26</v>
      </c>
      <c r="N18" s="31">
        <v>118</v>
      </c>
      <c r="O18" s="738">
        <v>1987309</v>
      </c>
      <c r="P18" s="738">
        <v>63037</v>
      </c>
      <c r="Q18" s="738">
        <v>2695380</v>
      </c>
      <c r="R18" s="738">
        <v>1820862</v>
      </c>
      <c r="S18" s="31">
        <v>316</v>
      </c>
      <c r="T18" s="31">
        <v>118</v>
      </c>
      <c r="U18" s="32">
        <v>118</v>
      </c>
    </row>
    <row r="19" spans="2:23" ht="17.100000000000001" customHeight="1" x14ac:dyDescent="0.2">
      <c r="B19" s="807" t="s">
        <v>297</v>
      </c>
      <c r="C19" s="808"/>
      <c r="D19" s="808"/>
      <c r="E19" s="808"/>
      <c r="F19" s="808"/>
      <c r="G19" s="808"/>
      <c r="H19" s="808"/>
      <c r="I19" s="808"/>
      <c r="J19" s="808"/>
      <c r="K19" s="808"/>
      <c r="L19" s="809"/>
      <c r="M19" s="586" t="s">
        <v>27</v>
      </c>
      <c r="N19" s="31">
        <v>9</v>
      </c>
      <c r="O19" s="738">
        <v>135997</v>
      </c>
      <c r="P19" s="783">
        <v>9022</v>
      </c>
      <c r="Q19" s="738">
        <v>233513</v>
      </c>
      <c r="R19" s="738">
        <v>148880</v>
      </c>
      <c r="S19" s="31">
        <v>28</v>
      </c>
      <c r="T19" s="31">
        <v>9</v>
      </c>
      <c r="U19" s="32">
        <v>9</v>
      </c>
      <c r="W19" s="36"/>
    </row>
    <row r="20" spans="2:23" ht="17.100000000000001" customHeight="1" x14ac:dyDescent="0.2">
      <c r="B20" s="807" t="s">
        <v>298</v>
      </c>
      <c r="C20" s="808"/>
      <c r="D20" s="808"/>
      <c r="E20" s="808"/>
      <c r="F20" s="808"/>
      <c r="G20" s="808"/>
      <c r="H20" s="808"/>
      <c r="I20" s="808"/>
      <c r="J20" s="808"/>
      <c r="K20" s="808"/>
      <c r="L20" s="809"/>
      <c r="M20" s="586" t="s">
        <v>28</v>
      </c>
      <c r="N20" s="31">
        <v>996</v>
      </c>
      <c r="O20" s="738">
        <v>5627244</v>
      </c>
      <c r="P20" s="738">
        <v>141018</v>
      </c>
      <c r="Q20" s="738">
        <v>3934061</v>
      </c>
      <c r="R20" s="738">
        <v>2859021</v>
      </c>
      <c r="S20" s="31">
        <v>1009</v>
      </c>
      <c r="T20" s="31">
        <v>996</v>
      </c>
      <c r="U20" s="32">
        <v>996</v>
      </c>
    </row>
    <row r="21" spans="2:23" ht="17.100000000000001" customHeight="1" x14ac:dyDescent="0.2">
      <c r="B21" s="807" t="s">
        <v>299</v>
      </c>
      <c r="C21" s="808"/>
      <c r="D21" s="808"/>
      <c r="E21" s="808"/>
      <c r="F21" s="808"/>
      <c r="G21" s="808"/>
      <c r="H21" s="808"/>
      <c r="I21" s="808"/>
      <c r="J21" s="808"/>
      <c r="K21" s="808"/>
      <c r="L21" s="809"/>
      <c r="M21" s="586">
        <v>6</v>
      </c>
      <c r="N21" s="318">
        <v>45</v>
      </c>
      <c r="O21" s="737">
        <v>424096</v>
      </c>
      <c r="P21" s="784">
        <v>8764</v>
      </c>
      <c r="Q21" s="737">
        <v>242468</v>
      </c>
      <c r="R21" s="737">
        <v>216694</v>
      </c>
      <c r="S21" s="318">
        <v>58</v>
      </c>
      <c r="T21" s="318">
        <v>45</v>
      </c>
      <c r="U21" s="630">
        <v>45</v>
      </c>
    </row>
    <row r="22" spans="2:23" ht="17.100000000000001" customHeight="1" x14ac:dyDescent="0.2">
      <c r="B22" s="807" t="s">
        <v>300</v>
      </c>
      <c r="C22" s="808"/>
      <c r="D22" s="808"/>
      <c r="E22" s="808"/>
      <c r="F22" s="808"/>
      <c r="G22" s="808"/>
      <c r="H22" s="808"/>
      <c r="I22" s="808"/>
      <c r="J22" s="808"/>
      <c r="K22" s="808"/>
      <c r="L22" s="809"/>
      <c r="M22" s="586">
        <v>7</v>
      </c>
      <c r="N22" s="631">
        <v>16</v>
      </c>
      <c r="O22" s="741">
        <v>544510</v>
      </c>
      <c r="P22" s="742">
        <v>815</v>
      </c>
      <c r="Q22" s="785">
        <v>4244</v>
      </c>
      <c r="R22" s="786">
        <v>6332</v>
      </c>
      <c r="S22" s="632">
        <v>16</v>
      </c>
      <c r="T22" s="631">
        <v>14</v>
      </c>
      <c r="U22" s="633">
        <v>14</v>
      </c>
    </row>
    <row r="23" spans="2:23" ht="17.100000000000001" customHeight="1" thickBot="1" x14ac:dyDescent="0.25">
      <c r="B23" s="835" t="s">
        <v>301</v>
      </c>
      <c r="C23" s="836"/>
      <c r="D23" s="836"/>
      <c r="E23" s="836"/>
      <c r="F23" s="836"/>
      <c r="G23" s="836"/>
      <c r="H23" s="836"/>
      <c r="I23" s="836"/>
      <c r="J23" s="836"/>
      <c r="K23" s="836"/>
      <c r="L23" s="837"/>
      <c r="M23" s="589">
        <v>8</v>
      </c>
      <c r="N23" s="634">
        <v>1</v>
      </c>
      <c r="O23" s="792">
        <v>9076</v>
      </c>
      <c r="P23" s="743">
        <v>221</v>
      </c>
      <c r="Q23" s="637">
        <v>6812</v>
      </c>
      <c r="R23" s="787">
        <v>3826</v>
      </c>
      <c r="S23" s="637">
        <v>1</v>
      </c>
      <c r="T23" s="635">
        <v>1</v>
      </c>
      <c r="U23" s="636">
        <v>1</v>
      </c>
      <c r="V23" s="21"/>
    </row>
    <row r="24" spans="2:23" ht="17.100000000000001" customHeight="1" thickBot="1" x14ac:dyDescent="0.25">
      <c r="B24" s="829" t="s">
        <v>302</v>
      </c>
      <c r="C24" s="830"/>
      <c r="D24" s="830"/>
      <c r="E24" s="830"/>
      <c r="F24" s="830"/>
      <c r="G24" s="830"/>
      <c r="H24" s="830"/>
      <c r="I24" s="830"/>
      <c r="J24" s="830"/>
      <c r="K24" s="830"/>
      <c r="L24" s="831"/>
      <c r="M24" s="583">
        <v>9</v>
      </c>
      <c r="N24" s="352">
        <f t="shared" ref="N24:S24" si="2">SUM(N25:N26)</f>
        <v>4</v>
      </c>
      <c r="O24" s="735">
        <f t="shared" si="2"/>
        <v>4327945</v>
      </c>
      <c r="P24" s="788">
        <f t="shared" si="2"/>
        <v>9209</v>
      </c>
      <c r="Q24" s="735">
        <f t="shared" si="2"/>
        <v>68234</v>
      </c>
      <c r="R24" s="735">
        <f t="shared" si="2"/>
        <v>27553</v>
      </c>
      <c r="S24" s="352">
        <f t="shared" si="2"/>
        <v>106</v>
      </c>
      <c r="T24" s="352">
        <f>SUM(T25,T26)</f>
        <v>4</v>
      </c>
      <c r="U24" s="353">
        <f>SUM(U25,U26)</f>
        <v>4</v>
      </c>
    </row>
    <row r="25" spans="2:23" ht="17.100000000000001" customHeight="1" x14ac:dyDescent="0.2">
      <c r="B25" s="838" t="s">
        <v>275</v>
      </c>
      <c r="C25" s="839"/>
      <c r="D25" s="839"/>
      <c r="E25" s="839"/>
      <c r="F25" s="839"/>
      <c r="G25" s="839"/>
      <c r="H25" s="839"/>
      <c r="I25" s="839"/>
      <c r="J25" s="839"/>
      <c r="K25" s="839"/>
      <c r="L25" s="840"/>
      <c r="M25" s="590" t="s">
        <v>29</v>
      </c>
      <c r="N25" s="638">
        <v>1</v>
      </c>
      <c r="O25" s="744">
        <v>3701827</v>
      </c>
      <c r="P25" s="789">
        <v>9012</v>
      </c>
      <c r="Q25" s="746">
        <v>64147</v>
      </c>
      <c r="R25" s="745">
        <v>26516</v>
      </c>
      <c r="S25" s="639">
        <v>96</v>
      </c>
      <c r="T25" s="638">
        <v>1</v>
      </c>
      <c r="U25" s="640">
        <v>1</v>
      </c>
    </row>
    <row r="26" spans="2:23" ht="17.100000000000001" customHeight="1" thickBot="1" x14ac:dyDescent="0.25">
      <c r="B26" s="835" t="s">
        <v>303</v>
      </c>
      <c r="C26" s="836"/>
      <c r="D26" s="836"/>
      <c r="E26" s="836"/>
      <c r="F26" s="836"/>
      <c r="G26" s="836"/>
      <c r="H26" s="836"/>
      <c r="I26" s="836"/>
      <c r="J26" s="836"/>
      <c r="K26" s="836"/>
      <c r="L26" s="837"/>
      <c r="M26" s="591" t="s">
        <v>30</v>
      </c>
      <c r="N26" s="641">
        <v>3</v>
      </c>
      <c r="O26" s="747">
        <v>626118</v>
      </c>
      <c r="P26" s="748">
        <v>197</v>
      </c>
      <c r="Q26" s="790">
        <v>4087</v>
      </c>
      <c r="R26" s="791">
        <v>1037</v>
      </c>
      <c r="S26" s="642">
        <v>10</v>
      </c>
      <c r="T26" s="641">
        <v>3</v>
      </c>
      <c r="U26" s="643">
        <v>3</v>
      </c>
    </row>
    <row r="27" spans="2:23" ht="17.100000000000001" customHeight="1" thickBot="1" x14ac:dyDescent="0.25">
      <c r="B27" s="829" t="s">
        <v>304</v>
      </c>
      <c r="C27" s="830"/>
      <c r="D27" s="830"/>
      <c r="E27" s="830"/>
      <c r="F27" s="830"/>
      <c r="G27" s="830"/>
      <c r="H27" s="830"/>
      <c r="I27" s="830"/>
      <c r="J27" s="830"/>
      <c r="K27" s="830"/>
      <c r="L27" s="831"/>
      <c r="M27" s="583">
        <v>10</v>
      </c>
      <c r="N27" s="352">
        <f t="shared" ref="N27:U27" si="3">SUM(N28,N31,N34,N37)</f>
        <v>15</v>
      </c>
      <c r="O27" s="735">
        <f t="shared" si="3"/>
        <v>1026635</v>
      </c>
      <c r="P27" s="735">
        <f t="shared" si="3"/>
        <v>4303</v>
      </c>
      <c r="Q27" s="735">
        <f t="shared" si="3"/>
        <v>60577</v>
      </c>
      <c r="R27" s="735">
        <f t="shared" si="3"/>
        <v>21471</v>
      </c>
      <c r="S27" s="352">
        <f t="shared" si="3"/>
        <v>38</v>
      </c>
      <c r="T27" s="352">
        <f t="shared" si="3"/>
        <v>16</v>
      </c>
      <c r="U27" s="353">
        <f t="shared" si="3"/>
        <v>16</v>
      </c>
    </row>
    <row r="28" spans="2:23" ht="17.100000000000001" customHeight="1" x14ac:dyDescent="0.2">
      <c r="B28" s="841" t="s">
        <v>305</v>
      </c>
      <c r="C28" s="842"/>
      <c r="D28" s="842"/>
      <c r="E28" s="842"/>
      <c r="F28" s="842"/>
      <c r="G28" s="842"/>
      <c r="H28" s="842"/>
      <c r="I28" s="842"/>
      <c r="J28" s="842"/>
      <c r="K28" s="842"/>
      <c r="L28" s="843"/>
      <c r="M28" s="373">
        <v>11</v>
      </c>
      <c r="N28" s="374">
        <f>SUM(N29,N30)</f>
        <v>7</v>
      </c>
      <c r="O28" s="749">
        <f t="shared" ref="O28:U28" si="4">SUM(O29,O30)</f>
        <v>113346</v>
      </c>
      <c r="P28" s="794">
        <f t="shared" si="4"/>
        <v>1589</v>
      </c>
      <c r="Q28" s="749">
        <f t="shared" si="4"/>
        <v>15605</v>
      </c>
      <c r="R28" s="794">
        <f t="shared" si="4"/>
        <v>5592</v>
      </c>
      <c r="S28" s="374">
        <f t="shared" si="4"/>
        <v>4</v>
      </c>
      <c r="T28" s="374">
        <f t="shared" si="4"/>
        <v>7</v>
      </c>
      <c r="U28" s="375">
        <f t="shared" si="4"/>
        <v>7</v>
      </c>
    </row>
    <row r="29" spans="2:23" ht="17.100000000000001" customHeight="1" x14ac:dyDescent="0.2">
      <c r="B29" s="672" t="s">
        <v>306</v>
      </c>
      <c r="C29" s="578"/>
      <c r="D29" s="578"/>
      <c r="E29" s="578"/>
      <c r="F29" s="578"/>
      <c r="G29" s="578"/>
      <c r="H29" s="578"/>
      <c r="I29" s="578"/>
      <c r="J29" s="578"/>
      <c r="K29" s="578"/>
      <c r="L29" s="579"/>
      <c r="M29" s="361" t="s">
        <v>31</v>
      </c>
      <c r="N29" s="644">
        <v>1</v>
      </c>
      <c r="O29" s="793">
        <v>6127</v>
      </c>
      <c r="P29" s="751">
        <v>129</v>
      </c>
      <c r="Q29" s="750">
        <v>711</v>
      </c>
      <c r="R29" s="751">
        <v>0</v>
      </c>
      <c r="S29" s="645">
        <v>1</v>
      </c>
      <c r="T29" s="644">
        <v>1</v>
      </c>
      <c r="U29" s="646">
        <v>1</v>
      </c>
    </row>
    <row r="30" spans="2:23" ht="17.100000000000001" customHeight="1" x14ac:dyDescent="0.2">
      <c r="B30" s="672" t="s">
        <v>134</v>
      </c>
      <c r="C30" s="578"/>
      <c r="D30" s="578"/>
      <c r="E30" s="578"/>
      <c r="F30" s="578"/>
      <c r="G30" s="578"/>
      <c r="H30" s="578"/>
      <c r="I30" s="578"/>
      <c r="J30" s="578"/>
      <c r="K30" s="578"/>
      <c r="L30" s="579"/>
      <c r="M30" s="361" t="s">
        <v>32</v>
      </c>
      <c r="N30" s="647">
        <v>6</v>
      </c>
      <c r="O30" s="752">
        <v>107219</v>
      </c>
      <c r="P30" s="795">
        <v>1460</v>
      </c>
      <c r="Q30" s="752">
        <v>14894</v>
      </c>
      <c r="R30" s="795">
        <v>5592</v>
      </c>
      <c r="S30" s="648">
        <v>3</v>
      </c>
      <c r="T30" s="647">
        <v>6</v>
      </c>
      <c r="U30" s="648">
        <v>6</v>
      </c>
      <c r="V30" s="21"/>
    </row>
    <row r="31" spans="2:23" ht="17.100000000000001" customHeight="1" x14ac:dyDescent="0.25">
      <c r="B31" s="734" t="s">
        <v>274</v>
      </c>
      <c r="C31"/>
      <c r="D31"/>
      <c r="E31"/>
      <c r="F31"/>
      <c r="G31"/>
      <c r="H31"/>
      <c r="I31"/>
      <c r="J31"/>
      <c r="K31"/>
      <c r="L31"/>
      <c r="M31" s="364">
        <v>12</v>
      </c>
      <c r="N31" s="365">
        <f t="shared" ref="N31:U31" si="5">SUM(N32,N33)</f>
        <v>2</v>
      </c>
      <c r="O31" s="753">
        <f t="shared" si="5"/>
        <v>19086</v>
      </c>
      <c r="P31" s="753">
        <f t="shared" si="5"/>
        <v>438</v>
      </c>
      <c r="Q31" s="753">
        <f t="shared" si="5"/>
        <v>395</v>
      </c>
      <c r="R31" s="753">
        <f t="shared" si="5"/>
        <v>0</v>
      </c>
      <c r="S31" s="365">
        <f t="shared" si="5"/>
        <v>1</v>
      </c>
      <c r="T31" s="365">
        <f t="shared" si="5"/>
        <v>2</v>
      </c>
      <c r="U31" s="366">
        <f t="shared" si="5"/>
        <v>2</v>
      </c>
    </row>
    <row r="32" spans="2:23" ht="17.100000000000001" hidden="1" customHeight="1" x14ac:dyDescent="0.2">
      <c r="B32" s="844"/>
      <c r="C32" s="845"/>
      <c r="D32" s="845"/>
      <c r="E32" s="845"/>
      <c r="F32" s="845"/>
      <c r="G32" s="845"/>
      <c r="H32" s="845"/>
      <c r="I32" s="845"/>
      <c r="J32" s="845"/>
      <c r="K32" s="845"/>
      <c r="L32" s="846"/>
      <c r="M32" s="367" t="s">
        <v>33</v>
      </c>
      <c r="N32" s="522"/>
      <c r="O32" s="754"/>
      <c r="P32" s="754"/>
      <c r="Q32" s="754"/>
      <c r="R32" s="754"/>
      <c r="S32" s="522"/>
      <c r="T32" s="522"/>
      <c r="U32" s="649"/>
    </row>
    <row r="33" spans="2:22" ht="17.100000000000001" customHeight="1" x14ac:dyDescent="0.2">
      <c r="B33" s="844" t="s">
        <v>307</v>
      </c>
      <c r="C33" s="845"/>
      <c r="D33" s="845"/>
      <c r="E33" s="845"/>
      <c r="F33" s="845"/>
      <c r="G33" s="845"/>
      <c r="H33" s="845"/>
      <c r="I33" s="845"/>
      <c r="J33" s="845"/>
      <c r="K33" s="845"/>
      <c r="L33" s="846"/>
      <c r="M33" s="369" t="s">
        <v>33</v>
      </c>
      <c r="N33" s="650">
        <v>2</v>
      </c>
      <c r="O33" s="755">
        <v>19086</v>
      </c>
      <c r="P33" s="755">
        <v>438</v>
      </c>
      <c r="Q33" s="755">
        <v>395</v>
      </c>
      <c r="R33" s="755">
        <v>0</v>
      </c>
      <c r="S33" s="651">
        <v>1</v>
      </c>
      <c r="T33" s="650">
        <v>2</v>
      </c>
      <c r="U33" s="646">
        <v>2</v>
      </c>
    </row>
    <row r="34" spans="2:22" ht="17.100000000000001" customHeight="1" x14ac:dyDescent="0.2">
      <c r="B34" s="847" t="s">
        <v>308</v>
      </c>
      <c r="C34" s="848"/>
      <c r="D34" s="848"/>
      <c r="E34" s="848"/>
      <c r="F34" s="848"/>
      <c r="G34" s="848"/>
      <c r="H34" s="848"/>
      <c r="I34" s="848"/>
      <c r="J34" s="848"/>
      <c r="K34" s="848"/>
      <c r="L34" s="849"/>
      <c r="M34" s="364">
        <v>13</v>
      </c>
      <c r="N34" s="365">
        <f>SUM(N35,N36)</f>
        <v>5</v>
      </c>
      <c r="O34" s="753">
        <f t="shared" ref="O34:U34" si="6">SUM(O35,O36)</f>
        <v>597853</v>
      </c>
      <c r="P34" s="753">
        <f t="shared" si="6"/>
        <v>2053</v>
      </c>
      <c r="Q34" s="756">
        <f t="shared" si="6"/>
        <v>44125</v>
      </c>
      <c r="R34" s="756">
        <f t="shared" si="6"/>
        <v>15580</v>
      </c>
      <c r="S34" s="496">
        <f>SUM(S35,S36)</f>
        <v>31</v>
      </c>
      <c r="T34" s="496">
        <f t="shared" si="6"/>
        <v>6</v>
      </c>
      <c r="U34" s="582">
        <f t="shared" si="6"/>
        <v>6</v>
      </c>
      <c r="V34" s="21"/>
    </row>
    <row r="35" spans="2:22" ht="17.100000000000001" customHeight="1" x14ac:dyDescent="0.2">
      <c r="B35" s="807" t="s">
        <v>137</v>
      </c>
      <c r="C35" s="808"/>
      <c r="D35" s="808"/>
      <c r="E35" s="808"/>
      <c r="F35" s="808"/>
      <c r="G35" s="808"/>
      <c r="H35" s="808"/>
      <c r="I35" s="808"/>
      <c r="J35" s="808"/>
      <c r="K35" s="808"/>
      <c r="L35" s="809"/>
      <c r="M35" s="370" t="s">
        <v>34</v>
      </c>
      <c r="N35" s="652">
        <v>1</v>
      </c>
      <c r="O35" s="757">
        <v>545197</v>
      </c>
      <c r="P35" s="758">
        <v>832</v>
      </c>
      <c r="Q35" s="759">
        <v>10669</v>
      </c>
      <c r="R35" s="796">
        <v>8124</v>
      </c>
      <c r="S35" s="654">
        <v>25</v>
      </c>
      <c r="T35" s="654">
        <v>1</v>
      </c>
      <c r="U35" s="655">
        <v>1</v>
      </c>
      <c r="V35" s="21"/>
    </row>
    <row r="36" spans="2:22" ht="17.100000000000001" customHeight="1" x14ac:dyDescent="0.2">
      <c r="B36" s="807" t="s">
        <v>309</v>
      </c>
      <c r="C36" s="808"/>
      <c r="D36" s="808"/>
      <c r="E36" s="808"/>
      <c r="F36" s="808"/>
      <c r="G36" s="808"/>
      <c r="H36" s="808"/>
      <c r="I36" s="808"/>
      <c r="J36" s="808"/>
      <c r="K36" s="808"/>
      <c r="L36" s="809"/>
      <c r="M36" s="370" t="s">
        <v>35</v>
      </c>
      <c r="N36" s="656">
        <v>4</v>
      </c>
      <c r="O36" s="760">
        <v>52656</v>
      </c>
      <c r="P36" s="797">
        <v>1221</v>
      </c>
      <c r="Q36" s="760">
        <v>33456</v>
      </c>
      <c r="R36" s="797">
        <v>7456</v>
      </c>
      <c r="S36" s="657">
        <v>6</v>
      </c>
      <c r="T36" s="652">
        <v>5</v>
      </c>
      <c r="U36" s="653">
        <v>5</v>
      </c>
      <c r="V36" s="21"/>
    </row>
    <row r="37" spans="2:22" ht="17.100000000000001" customHeight="1" thickBot="1" x14ac:dyDescent="0.25">
      <c r="B37" s="847" t="s">
        <v>310</v>
      </c>
      <c r="C37" s="848"/>
      <c r="D37" s="848"/>
      <c r="E37" s="848"/>
      <c r="F37" s="848"/>
      <c r="G37" s="848"/>
      <c r="H37" s="848"/>
      <c r="I37" s="848"/>
      <c r="J37" s="848"/>
      <c r="K37" s="848"/>
      <c r="L37" s="849"/>
      <c r="M37" s="364">
        <v>14</v>
      </c>
      <c r="N37" s="365">
        <v>1</v>
      </c>
      <c r="O37" s="753">
        <v>296350</v>
      </c>
      <c r="P37" s="753">
        <v>223</v>
      </c>
      <c r="Q37" s="753">
        <v>452</v>
      </c>
      <c r="R37" s="753">
        <v>299</v>
      </c>
      <c r="S37" s="365">
        <v>2</v>
      </c>
      <c r="T37" s="365">
        <v>1</v>
      </c>
      <c r="U37" s="366">
        <v>1</v>
      </c>
    </row>
    <row r="38" spans="2:22" ht="27" customHeight="1" thickBot="1" x14ac:dyDescent="0.25">
      <c r="B38" s="829" t="s">
        <v>311</v>
      </c>
      <c r="C38" s="830"/>
      <c r="D38" s="830"/>
      <c r="E38" s="830"/>
      <c r="F38" s="830"/>
      <c r="G38" s="830"/>
      <c r="H38" s="830"/>
      <c r="I38" s="830"/>
      <c r="J38" s="830"/>
      <c r="K38" s="830"/>
      <c r="L38" s="831"/>
      <c r="M38" s="583">
        <v>15</v>
      </c>
      <c r="N38" s="352">
        <f t="shared" ref="N38:U38" si="7">SUM(N12, N27)</f>
        <v>1222</v>
      </c>
      <c r="O38" s="735">
        <f t="shared" si="7"/>
        <v>23576329</v>
      </c>
      <c r="P38" s="735">
        <f t="shared" si="7"/>
        <v>456208</v>
      </c>
      <c r="Q38" s="735">
        <f t="shared" si="7"/>
        <v>11599717</v>
      </c>
      <c r="R38" s="735">
        <f t="shared" si="7"/>
        <v>11442880</v>
      </c>
      <c r="S38" s="352">
        <f t="shared" si="7"/>
        <v>3092</v>
      </c>
      <c r="T38" s="352">
        <f t="shared" si="7"/>
        <v>1221</v>
      </c>
      <c r="U38" s="353">
        <f t="shared" si="7"/>
        <v>1221</v>
      </c>
      <c r="V38" s="21"/>
    </row>
    <row r="39" spans="2:22" ht="13.5" customHeight="1" x14ac:dyDescent="0.2">
      <c r="B39" s="22" t="s">
        <v>36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669"/>
      <c r="N39" s="37"/>
      <c r="O39" s="38"/>
      <c r="P39" s="38"/>
      <c r="Q39" s="38"/>
      <c r="R39" s="38"/>
      <c r="S39" s="38"/>
      <c r="T39" s="39"/>
      <c r="U39" s="39"/>
    </row>
    <row r="40" spans="2:22" ht="13.5" customHeight="1" thickBot="1" x14ac:dyDescent="0.25">
      <c r="M40" s="40"/>
      <c r="T40" s="41"/>
      <c r="U40" s="41"/>
    </row>
    <row r="41" spans="2:22" ht="15" customHeight="1" x14ac:dyDescent="0.2">
      <c r="B41" s="42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4"/>
      <c r="N41" s="14"/>
      <c r="O41" s="814" t="s">
        <v>2</v>
      </c>
      <c r="P41" s="815"/>
      <c r="Q41" s="815"/>
      <c r="R41" s="815"/>
      <c r="S41" s="850"/>
      <c r="T41" s="816" t="s">
        <v>3</v>
      </c>
      <c r="U41" s="817"/>
    </row>
    <row r="42" spans="2:22" ht="15" customHeight="1" x14ac:dyDescent="0.2"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8"/>
      <c r="N42" s="18" t="s">
        <v>5</v>
      </c>
      <c r="O42" s="19" t="s">
        <v>6</v>
      </c>
      <c r="P42" s="19" t="s">
        <v>7</v>
      </c>
      <c r="Q42" s="19" t="s">
        <v>6</v>
      </c>
      <c r="R42" s="19" t="s">
        <v>8</v>
      </c>
      <c r="S42" s="20" t="s">
        <v>9</v>
      </c>
      <c r="T42" s="818" t="s">
        <v>10</v>
      </c>
      <c r="U42" s="819"/>
    </row>
    <row r="43" spans="2:22" ht="15" customHeight="1" x14ac:dyDescent="0.2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18"/>
      <c r="N43" s="18" t="s">
        <v>12</v>
      </c>
      <c r="O43" s="18" t="s">
        <v>13</v>
      </c>
      <c r="P43" s="18" t="s">
        <v>14</v>
      </c>
      <c r="Q43" s="18" t="s">
        <v>15</v>
      </c>
      <c r="R43" s="18" t="s">
        <v>16</v>
      </c>
      <c r="S43" s="23" t="s">
        <v>17</v>
      </c>
      <c r="T43" s="19"/>
      <c r="U43" s="24" t="s">
        <v>37</v>
      </c>
    </row>
    <row r="44" spans="2:22" ht="18.75" customHeight="1" x14ac:dyDescent="0.2">
      <c r="B44" s="45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7"/>
      <c r="N44" s="18" t="s">
        <v>19</v>
      </c>
      <c r="O44" s="18" t="s">
        <v>20</v>
      </c>
      <c r="P44" s="18" t="s">
        <v>19</v>
      </c>
      <c r="Q44" s="18" t="s">
        <v>20</v>
      </c>
      <c r="R44" s="18" t="s">
        <v>19</v>
      </c>
      <c r="S44" s="23" t="s">
        <v>21</v>
      </c>
      <c r="T44" s="47" t="s">
        <v>22</v>
      </c>
      <c r="U44" s="48" t="s">
        <v>38</v>
      </c>
    </row>
    <row r="45" spans="2:22" ht="15" customHeight="1" thickBot="1" x14ac:dyDescent="0.25">
      <c r="B45" s="854"/>
      <c r="C45" s="855"/>
      <c r="D45" s="855"/>
      <c r="E45" s="855"/>
      <c r="F45" s="855"/>
      <c r="G45" s="855"/>
      <c r="H45" s="855"/>
      <c r="I45" s="855"/>
      <c r="J45" s="855"/>
      <c r="K45" s="855"/>
      <c r="L45" s="856"/>
      <c r="M45" s="19">
        <v>0</v>
      </c>
      <c r="N45" s="49">
        <v>1</v>
      </c>
      <c r="O45" s="20">
        <v>2</v>
      </c>
      <c r="P45" s="19">
        <v>3</v>
      </c>
      <c r="Q45" s="49">
        <v>4</v>
      </c>
      <c r="R45" s="19">
        <v>5</v>
      </c>
      <c r="S45" s="19">
        <v>6</v>
      </c>
      <c r="T45" s="19">
        <v>7</v>
      </c>
      <c r="U45" s="24">
        <v>8</v>
      </c>
    </row>
    <row r="46" spans="2:22" ht="27" customHeight="1" thickBot="1" x14ac:dyDescent="0.25">
      <c r="B46" s="857" t="s">
        <v>39</v>
      </c>
      <c r="C46" s="858"/>
      <c r="D46" s="858"/>
      <c r="E46" s="858"/>
      <c r="F46" s="858"/>
      <c r="G46" s="858"/>
      <c r="H46" s="858"/>
      <c r="I46" s="858"/>
      <c r="J46" s="858"/>
      <c r="K46" s="858"/>
      <c r="L46" s="859"/>
      <c r="M46" s="392">
        <v>16</v>
      </c>
      <c r="N46" s="352">
        <f t="shared" ref="N46:U46" si="8">SUM(N24, N47, N56, N57)</f>
        <v>930</v>
      </c>
      <c r="O46" s="735">
        <f t="shared" si="8"/>
        <v>23775542</v>
      </c>
      <c r="P46" s="735">
        <f t="shared" si="8"/>
        <v>489684</v>
      </c>
      <c r="Q46" s="735">
        <f t="shared" si="8"/>
        <v>4175593</v>
      </c>
      <c r="R46" s="735">
        <f t="shared" si="8"/>
        <v>5810430</v>
      </c>
      <c r="S46" s="352">
        <f t="shared" si="8"/>
        <v>1680</v>
      </c>
      <c r="T46" s="352">
        <f t="shared" si="8"/>
        <v>881</v>
      </c>
      <c r="U46" s="353">
        <f t="shared" si="8"/>
        <v>881</v>
      </c>
    </row>
    <row r="47" spans="2:22" ht="16.5" customHeight="1" thickBot="1" x14ac:dyDescent="0.25">
      <c r="B47" s="860" t="s">
        <v>312</v>
      </c>
      <c r="C47" s="861"/>
      <c r="D47" s="861"/>
      <c r="E47" s="861"/>
      <c r="F47" s="861"/>
      <c r="G47" s="861"/>
      <c r="H47" s="861"/>
      <c r="I47" s="861"/>
      <c r="J47" s="861"/>
      <c r="K47" s="861"/>
      <c r="L47" s="862"/>
      <c r="M47" s="392">
        <v>17</v>
      </c>
      <c r="N47" s="393">
        <f t="shared" ref="N47:U49" si="9">SUM(N50,N53)</f>
        <v>34</v>
      </c>
      <c r="O47" s="761">
        <f t="shared" si="9"/>
        <v>10140347</v>
      </c>
      <c r="P47" s="761">
        <f t="shared" si="9"/>
        <v>146105</v>
      </c>
      <c r="Q47" s="761">
        <f t="shared" si="9"/>
        <v>928117</v>
      </c>
      <c r="R47" s="761">
        <f t="shared" si="9"/>
        <v>1757927</v>
      </c>
      <c r="S47" s="393">
        <f t="shared" si="9"/>
        <v>418</v>
      </c>
      <c r="T47" s="393">
        <f t="shared" si="9"/>
        <v>32</v>
      </c>
      <c r="U47" s="394">
        <f t="shared" si="9"/>
        <v>32</v>
      </c>
    </row>
    <row r="48" spans="2:22" ht="15" customHeight="1" x14ac:dyDescent="0.2">
      <c r="B48" s="863" t="s">
        <v>313</v>
      </c>
      <c r="C48" s="864"/>
      <c r="D48" s="864"/>
      <c r="E48" s="864"/>
      <c r="F48" s="864"/>
      <c r="G48" s="864"/>
      <c r="H48" s="864"/>
      <c r="I48" s="864"/>
      <c r="J48" s="864"/>
      <c r="K48" s="864"/>
      <c r="L48" s="865"/>
      <c r="M48" s="395" t="s">
        <v>40</v>
      </c>
      <c r="N48" s="362">
        <f t="shared" si="9"/>
        <v>16</v>
      </c>
      <c r="O48" s="762">
        <f t="shared" si="9"/>
        <v>9280648</v>
      </c>
      <c r="P48" s="762">
        <f t="shared" si="9"/>
        <v>115728</v>
      </c>
      <c r="Q48" s="762">
        <f t="shared" si="9"/>
        <v>698630</v>
      </c>
      <c r="R48" s="762">
        <f t="shared" si="9"/>
        <v>1480423</v>
      </c>
      <c r="S48" s="362">
        <f t="shared" si="9"/>
        <v>350</v>
      </c>
      <c r="T48" s="362">
        <f t="shared" si="9"/>
        <v>14</v>
      </c>
      <c r="U48" s="363">
        <f t="shared" si="9"/>
        <v>14</v>
      </c>
    </row>
    <row r="49" spans="2:22" ht="15" customHeight="1" x14ac:dyDescent="0.2">
      <c r="B49" s="844" t="s">
        <v>314</v>
      </c>
      <c r="C49" s="845"/>
      <c r="D49" s="845"/>
      <c r="E49" s="845"/>
      <c r="F49" s="845"/>
      <c r="G49" s="845"/>
      <c r="H49" s="845"/>
      <c r="I49" s="845"/>
      <c r="J49" s="845"/>
      <c r="K49" s="845"/>
      <c r="L49" s="846"/>
      <c r="M49" s="369" t="s">
        <v>41</v>
      </c>
      <c r="N49" s="368">
        <f>SUM(N52,N55)</f>
        <v>18</v>
      </c>
      <c r="O49" s="763">
        <f>SUM(O52,O55)</f>
        <v>859699</v>
      </c>
      <c r="P49" s="763">
        <f>SUM(P52,P55)</f>
        <v>30377</v>
      </c>
      <c r="Q49" s="763">
        <f>SUM(Q52,Q55)</f>
        <v>229487</v>
      </c>
      <c r="R49" s="763">
        <f>SUM(R52,R55)</f>
        <v>277504</v>
      </c>
      <c r="S49" s="362">
        <f t="shared" si="9"/>
        <v>68</v>
      </c>
      <c r="T49" s="362">
        <f t="shared" si="9"/>
        <v>18</v>
      </c>
      <c r="U49" s="363">
        <f t="shared" si="9"/>
        <v>18</v>
      </c>
    </row>
    <row r="50" spans="2:22" ht="18" customHeight="1" x14ac:dyDescent="0.2">
      <c r="B50" s="847" t="s">
        <v>315</v>
      </c>
      <c r="C50" s="848"/>
      <c r="D50" s="848"/>
      <c r="E50" s="848"/>
      <c r="F50" s="848"/>
      <c r="G50" s="848"/>
      <c r="H50" s="848"/>
      <c r="I50" s="848"/>
      <c r="J50" s="848"/>
      <c r="K50" s="848"/>
      <c r="L50" s="849"/>
      <c r="M50" s="391">
        <v>18</v>
      </c>
      <c r="N50" s="365">
        <f t="shared" ref="N50:U50" si="10">SUM(N51,N52)</f>
        <v>23</v>
      </c>
      <c r="O50" s="753">
        <f t="shared" si="10"/>
        <v>9903905</v>
      </c>
      <c r="P50" s="753">
        <f t="shared" si="10"/>
        <v>138268</v>
      </c>
      <c r="Q50" s="753">
        <f t="shared" si="10"/>
        <v>890763</v>
      </c>
      <c r="R50" s="753">
        <f t="shared" si="10"/>
        <v>1715309</v>
      </c>
      <c r="S50" s="365">
        <f t="shared" si="10"/>
        <v>401</v>
      </c>
      <c r="T50" s="365">
        <f t="shared" si="10"/>
        <v>23</v>
      </c>
      <c r="U50" s="366">
        <f t="shared" si="10"/>
        <v>23</v>
      </c>
    </row>
    <row r="51" spans="2:22" ht="15" customHeight="1" x14ac:dyDescent="0.2">
      <c r="B51" s="807" t="s">
        <v>316</v>
      </c>
      <c r="C51" s="808"/>
      <c r="D51" s="808"/>
      <c r="E51" s="808"/>
      <c r="F51" s="808"/>
      <c r="G51" s="808"/>
      <c r="H51" s="808"/>
      <c r="I51" s="808"/>
      <c r="J51" s="808"/>
      <c r="K51" s="808"/>
      <c r="L51" s="809"/>
      <c r="M51" s="50" t="s">
        <v>42</v>
      </c>
      <c r="N51" s="371">
        <v>11</v>
      </c>
      <c r="O51" s="738">
        <v>9108777</v>
      </c>
      <c r="P51" s="738">
        <v>111873</v>
      </c>
      <c r="Q51" s="738">
        <v>666072</v>
      </c>
      <c r="R51" s="738">
        <v>1448648</v>
      </c>
      <c r="S51" s="371">
        <v>342</v>
      </c>
      <c r="T51" s="388">
        <v>11</v>
      </c>
      <c r="U51" s="389">
        <v>11</v>
      </c>
    </row>
    <row r="52" spans="2:22" ht="15" customHeight="1" x14ac:dyDescent="0.2">
      <c r="B52" s="807" t="s">
        <v>317</v>
      </c>
      <c r="C52" s="808"/>
      <c r="D52" s="808"/>
      <c r="E52" s="808"/>
      <c r="F52" s="808"/>
      <c r="G52" s="808"/>
      <c r="H52" s="808"/>
      <c r="I52" s="808"/>
      <c r="J52" s="808"/>
      <c r="K52" s="808"/>
      <c r="L52" s="809"/>
      <c r="M52" s="50" t="s">
        <v>43</v>
      </c>
      <c r="N52" s="371">
        <v>12</v>
      </c>
      <c r="O52" s="738">
        <v>795128</v>
      </c>
      <c r="P52" s="738">
        <v>26395</v>
      </c>
      <c r="Q52" s="738">
        <v>224691</v>
      </c>
      <c r="R52" s="738">
        <v>266661</v>
      </c>
      <c r="S52" s="658">
        <v>59</v>
      </c>
      <c r="T52" s="388">
        <v>12</v>
      </c>
      <c r="U52" s="389">
        <v>12</v>
      </c>
    </row>
    <row r="53" spans="2:22" ht="20.25" customHeight="1" x14ac:dyDescent="0.2">
      <c r="B53" s="847" t="s">
        <v>318</v>
      </c>
      <c r="C53" s="848"/>
      <c r="D53" s="848"/>
      <c r="E53" s="848"/>
      <c r="F53" s="848"/>
      <c r="G53" s="848"/>
      <c r="H53" s="848"/>
      <c r="I53" s="848"/>
      <c r="J53" s="848"/>
      <c r="K53" s="848"/>
      <c r="L53" s="849"/>
      <c r="M53" s="391">
        <v>19</v>
      </c>
      <c r="N53" s="365">
        <f t="shared" ref="N53:U53" si="11">SUM(N54,N55)</f>
        <v>11</v>
      </c>
      <c r="O53" s="753">
        <f t="shared" si="11"/>
        <v>236442</v>
      </c>
      <c r="P53" s="798">
        <f t="shared" si="11"/>
        <v>7837</v>
      </c>
      <c r="Q53" s="753">
        <f t="shared" si="11"/>
        <v>37354</v>
      </c>
      <c r="R53" s="753">
        <f t="shared" si="11"/>
        <v>42618</v>
      </c>
      <c r="S53" s="365">
        <f t="shared" si="11"/>
        <v>17</v>
      </c>
      <c r="T53" s="365">
        <f t="shared" si="11"/>
        <v>9</v>
      </c>
      <c r="U53" s="366">
        <f t="shared" si="11"/>
        <v>9</v>
      </c>
      <c r="V53" s="21"/>
    </row>
    <row r="54" spans="2:22" ht="15" customHeight="1" x14ac:dyDescent="0.2">
      <c r="B54" s="807" t="s">
        <v>319</v>
      </c>
      <c r="C54" s="808"/>
      <c r="D54" s="808"/>
      <c r="E54" s="808"/>
      <c r="F54" s="808"/>
      <c r="G54" s="808"/>
      <c r="H54" s="808"/>
      <c r="I54" s="808"/>
      <c r="J54" s="808"/>
      <c r="K54" s="808"/>
      <c r="L54" s="809"/>
      <c r="M54" s="50" t="s">
        <v>44</v>
      </c>
      <c r="N54" s="371">
        <v>5</v>
      </c>
      <c r="O54" s="738">
        <v>171871</v>
      </c>
      <c r="P54" s="783">
        <v>3855</v>
      </c>
      <c r="Q54" s="738">
        <v>32558</v>
      </c>
      <c r="R54" s="738">
        <v>31775</v>
      </c>
      <c r="S54" s="371">
        <v>8</v>
      </c>
      <c r="T54" s="388">
        <v>3</v>
      </c>
      <c r="U54" s="389">
        <v>3</v>
      </c>
    </row>
    <row r="55" spans="2:22" ht="15" customHeight="1" x14ac:dyDescent="0.2">
      <c r="B55" s="807" t="s">
        <v>317</v>
      </c>
      <c r="C55" s="808"/>
      <c r="D55" s="808"/>
      <c r="E55" s="808"/>
      <c r="F55" s="808"/>
      <c r="G55" s="808"/>
      <c r="H55" s="808"/>
      <c r="I55" s="808"/>
      <c r="J55" s="808"/>
      <c r="K55" s="808"/>
      <c r="L55" s="809"/>
      <c r="M55" s="50" t="s">
        <v>45</v>
      </c>
      <c r="N55" s="371">
        <v>6</v>
      </c>
      <c r="O55" s="738">
        <v>64571</v>
      </c>
      <c r="P55" s="783">
        <v>3982</v>
      </c>
      <c r="Q55" s="783">
        <v>4796</v>
      </c>
      <c r="R55" s="738">
        <v>10843</v>
      </c>
      <c r="S55" s="371">
        <v>9</v>
      </c>
      <c r="T55" s="388">
        <v>6</v>
      </c>
      <c r="U55" s="389">
        <v>6</v>
      </c>
    </row>
    <row r="56" spans="2:22" ht="15" customHeight="1" thickBot="1" x14ac:dyDescent="0.25">
      <c r="B56" s="851" t="s">
        <v>320</v>
      </c>
      <c r="C56" s="852"/>
      <c r="D56" s="852"/>
      <c r="E56" s="852"/>
      <c r="F56" s="852"/>
      <c r="G56" s="852"/>
      <c r="H56" s="852"/>
      <c r="I56" s="852"/>
      <c r="J56" s="852"/>
      <c r="K56" s="852"/>
      <c r="L56" s="853"/>
      <c r="M56" s="391">
        <v>20</v>
      </c>
      <c r="N56" s="496">
        <v>53</v>
      </c>
      <c r="O56" s="756">
        <v>1026221</v>
      </c>
      <c r="P56" s="756">
        <v>29554</v>
      </c>
      <c r="Q56" s="756">
        <v>201367</v>
      </c>
      <c r="R56" s="756">
        <v>186859</v>
      </c>
      <c r="S56" s="496">
        <v>74</v>
      </c>
      <c r="T56" s="496">
        <v>50</v>
      </c>
      <c r="U56" s="582">
        <v>50</v>
      </c>
    </row>
    <row r="57" spans="2:22" ht="15" customHeight="1" thickBot="1" x14ac:dyDescent="0.25">
      <c r="B57" s="580" t="s">
        <v>321</v>
      </c>
      <c r="C57" s="581"/>
      <c r="D57" s="581"/>
      <c r="E57" s="581"/>
      <c r="F57" s="581"/>
      <c r="G57" s="581"/>
      <c r="H57" s="581"/>
      <c r="I57" s="581"/>
      <c r="J57" s="581"/>
      <c r="K57" s="581"/>
      <c r="L57" s="581"/>
      <c r="M57" s="392">
        <v>21</v>
      </c>
      <c r="N57" s="393">
        <f>SUM(N58,N77,N78,N79,N80)</f>
        <v>839</v>
      </c>
      <c r="O57" s="761">
        <f t="shared" ref="O57:T57" si="12">SUM(O58,O77,O78,O79,O80)</f>
        <v>8281029</v>
      </c>
      <c r="P57" s="761">
        <f t="shared" si="12"/>
        <v>304816</v>
      </c>
      <c r="Q57" s="761">
        <f t="shared" si="12"/>
        <v>2977875</v>
      </c>
      <c r="R57" s="761">
        <f t="shared" si="12"/>
        <v>3838091</v>
      </c>
      <c r="S57" s="393">
        <f t="shared" si="12"/>
        <v>1082</v>
      </c>
      <c r="T57" s="393">
        <f t="shared" si="12"/>
        <v>795</v>
      </c>
      <c r="U57" s="394">
        <f>SUM(U58,U77,U78,U79,U80)</f>
        <v>795</v>
      </c>
    </row>
    <row r="58" spans="2:22" ht="23.1" customHeight="1" thickBot="1" x14ac:dyDescent="0.25">
      <c r="B58" s="823" t="s">
        <v>322</v>
      </c>
      <c r="C58" s="869"/>
      <c r="D58" s="869"/>
      <c r="E58" s="869"/>
      <c r="F58" s="869"/>
      <c r="G58" s="869"/>
      <c r="H58" s="869"/>
      <c r="I58" s="869"/>
      <c r="J58" s="869"/>
      <c r="K58" s="869"/>
      <c r="L58" s="870"/>
      <c r="M58" s="392">
        <v>22</v>
      </c>
      <c r="N58" s="393">
        <f>SUM(N59,N60,Y64,N61,N62)</f>
        <v>774</v>
      </c>
      <c r="O58" s="761">
        <f t="shared" ref="O58:U58" si="13">SUM(O59,O60,Z64,O61,O62)</f>
        <v>7874637</v>
      </c>
      <c r="P58" s="761">
        <f t="shared" si="13"/>
        <v>293772</v>
      </c>
      <c r="Q58" s="761">
        <f t="shared" si="13"/>
        <v>2904677</v>
      </c>
      <c r="R58" s="761">
        <f t="shared" si="13"/>
        <v>3754983</v>
      </c>
      <c r="S58" s="393">
        <f t="shared" si="13"/>
        <v>1037</v>
      </c>
      <c r="T58" s="393">
        <f t="shared" si="13"/>
        <v>751</v>
      </c>
      <c r="U58" s="394">
        <f t="shared" si="13"/>
        <v>751</v>
      </c>
    </row>
    <row r="59" spans="2:22" ht="15" customHeight="1" x14ac:dyDescent="0.2">
      <c r="B59" s="871" t="s">
        <v>323</v>
      </c>
      <c r="C59" s="872"/>
      <c r="D59" s="872"/>
      <c r="E59" s="872"/>
      <c r="F59" s="872"/>
      <c r="G59" s="872"/>
      <c r="H59" s="872"/>
      <c r="I59" s="872"/>
      <c r="J59" s="872"/>
      <c r="K59" s="872"/>
      <c r="L59" s="873"/>
      <c r="M59" s="542" t="s">
        <v>46</v>
      </c>
      <c r="N59" s="538">
        <f>SUM(N64)</f>
        <v>160</v>
      </c>
      <c r="O59" s="740">
        <f t="shared" ref="O59:U59" si="14">SUM(O64,O70)</f>
        <v>1616216</v>
      </c>
      <c r="P59" s="740">
        <f t="shared" si="14"/>
        <v>88969</v>
      </c>
      <c r="Q59" s="740">
        <f t="shared" si="14"/>
        <v>821546</v>
      </c>
      <c r="R59" s="740">
        <f t="shared" si="14"/>
        <v>1051514</v>
      </c>
      <c r="S59" s="538">
        <f t="shared" si="14"/>
        <v>226</v>
      </c>
      <c r="T59" s="538">
        <f>SUM(T64,T70)</f>
        <v>159</v>
      </c>
      <c r="U59" s="543">
        <f t="shared" si="14"/>
        <v>159</v>
      </c>
    </row>
    <row r="60" spans="2:22" ht="15" customHeight="1" x14ac:dyDescent="0.2">
      <c r="B60" s="874" t="s">
        <v>324</v>
      </c>
      <c r="C60" s="875"/>
      <c r="D60" s="875"/>
      <c r="E60" s="875"/>
      <c r="F60" s="875"/>
      <c r="G60" s="875"/>
      <c r="H60" s="875"/>
      <c r="I60" s="875"/>
      <c r="J60" s="875"/>
      <c r="K60" s="875"/>
      <c r="L60" s="876"/>
      <c r="M60" s="370" t="s">
        <v>47</v>
      </c>
      <c r="N60" s="371">
        <f t="shared" ref="N60:U60" si="15">SUM(N65,N71,N75)</f>
        <v>364</v>
      </c>
      <c r="O60" s="738">
        <f t="shared" si="15"/>
        <v>4430842</v>
      </c>
      <c r="P60" s="738">
        <f t="shared" si="15"/>
        <v>146673</v>
      </c>
      <c r="Q60" s="738">
        <f t="shared" si="15"/>
        <v>1536470</v>
      </c>
      <c r="R60" s="738">
        <f t="shared" si="15"/>
        <v>2060031</v>
      </c>
      <c r="S60" s="371">
        <f t="shared" si="15"/>
        <v>524</v>
      </c>
      <c r="T60" s="371">
        <f t="shared" si="15"/>
        <v>362</v>
      </c>
      <c r="U60" s="372">
        <f t="shared" si="15"/>
        <v>362</v>
      </c>
    </row>
    <row r="61" spans="2:22" ht="19.5" customHeight="1" x14ac:dyDescent="0.2">
      <c r="B61" s="874" t="s">
        <v>325</v>
      </c>
      <c r="C61" s="875"/>
      <c r="D61" s="875"/>
      <c r="E61" s="875"/>
      <c r="F61" s="875"/>
      <c r="G61" s="875"/>
      <c r="H61" s="875"/>
      <c r="I61" s="875"/>
      <c r="J61" s="875"/>
      <c r="K61" s="875"/>
      <c r="L61" s="876"/>
      <c r="M61" s="370" t="s">
        <v>48</v>
      </c>
      <c r="N61" s="371">
        <f t="shared" ref="N61:U62" si="16">SUM(N67,N72)</f>
        <v>176</v>
      </c>
      <c r="O61" s="738">
        <f t="shared" si="16"/>
        <v>1568998</v>
      </c>
      <c r="P61" s="738">
        <f t="shared" si="16"/>
        <v>42258</v>
      </c>
      <c r="Q61" s="738">
        <f t="shared" si="16"/>
        <v>397596</v>
      </c>
      <c r="R61" s="738">
        <f t="shared" si="16"/>
        <v>489603</v>
      </c>
      <c r="S61" s="371">
        <f t="shared" si="16"/>
        <v>207</v>
      </c>
      <c r="T61" s="371">
        <f t="shared" si="16"/>
        <v>165</v>
      </c>
      <c r="U61" s="372">
        <f t="shared" si="16"/>
        <v>165</v>
      </c>
    </row>
    <row r="62" spans="2:22" ht="15" customHeight="1" thickBot="1" x14ac:dyDescent="0.25">
      <c r="B62" s="877" t="s">
        <v>326</v>
      </c>
      <c r="C62" s="878"/>
      <c r="D62" s="878"/>
      <c r="E62" s="878"/>
      <c r="F62" s="878"/>
      <c r="G62" s="878"/>
      <c r="H62" s="878"/>
      <c r="I62" s="878"/>
      <c r="J62" s="878"/>
      <c r="K62" s="878"/>
      <c r="L62" s="879"/>
      <c r="M62" s="50" t="s">
        <v>49</v>
      </c>
      <c r="N62" s="51">
        <f>SUM(N68)</f>
        <v>74</v>
      </c>
      <c r="O62" s="737">
        <f t="shared" si="16"/>
        <v>258581</v>
      </c>
      <c r="P62" s="737">
        <f t="shared" si="16"/>
        <v>15872</v>
      </c>
      <c r="Q62" s="737">
        <f t="shared" si="16"/>
        <v>149065</v>
      </c>
      <c r="R62" s="737">
        <f t="shared" si="16"/>
        <v>153835</v>
      </c>
      <c r="S62" s="51">
        <f t="shared" si="16"/>
        <v>80</v>
      </c>
      <c r="T62" s="51">
        <f t="shared" si="16"/>
        <v>65</v>
      </c>
      <c r="U62" s="544">
        <f t="shared" si="16"/>
        <v>65</v>
      </c>
    </row>
    <row r="63" spans="2:22" ht="35.25" customHeight="1" thickBot="1" x14ac:dyDescent="0.25">
      <c r="B63" s="866" t="s">
        <v>327</v>
      </c>
      <c r="C63" s="867"/>
      <c r="D63" s="867"/>
      <c r="E63" s="867"/>
      <c r="F63" s="867"/>
      <c r="G63" s="867"/>
      <c r="H63" s="867"/>
      <c r="I63" s="867"/>
      <c r="J63" s="867"/>
      <c r="K63" s="867"/>
      <c r="L63" s="868"/>
      <c r="M63" s="392">
        <v>23</v>
      </c>
      <c r="N63" s="393">
        <f t="shared" ref="N63:U63" si="17">SUM(N64,N65,N67,N68)</f>
        <v>741</v>
      </c>
      <c r="O63" s="761">
        <f t="shared" si="17"/>
        <v>7374357</v>
      </c>
      <c r="P63" s="761">
        <f t="shared" si="17"/>
        <v>278752</v>
      </c>
      <c r="Q63" s="761">
        <f t="shared" si="17"/>
        <v>2669885</v>
      </c>
      <c r="R63" s="761">
        <f t="shared" si="17"/>
        <v>3581078</v>
      </c>
      <c r="S63" s="393">
        <f t="shared" si="17"/>
        <v>990</v>
      </c>
      <c r="T63" s="539">
        <f t="shared" si="17"/>
        <v>719</v>
      </c>
      <c r="U63" s="540">
        <f t="shared" si="17"/>
        <v>719</v>
      </c>
    </row>
    <row r="64" spans="2:22" ht="15" customHeight="1" x14ac:dyDescent="0.2">
      <c r="B64" s="871" t="s">
        <v>328</v>
      </c>
      <c r="C64" s="872"/>
      <c r="D64" s="872"/>
      <c r="E64" s="872"/>
      <c r="F64" s="872"/>
      <c r="G64" s="872"/>
      <c r="H64" s="872"/>
      <c r="I64" s="872"/>
      <c r="J64" s="872"/>
      <c r="K64" s="872"/>
      <c r="L64" s="873"/>
      <c r="M64" s="361" t="s">
        <v>51</v>
      </c>
      <c r="N64" s="362">
        <v>160</v>
      </c>
      <c r="O64" s="764">
        <v>1616216</v>
      </c>
      <c r="P64" s="764">
        <v>88969</v>
      </c>
      <c r="Q64" s="764">
        <v>821546</v>
      </c>
      <c r="R64" s="764">
        <v>1051514</v>
      </c>
      <c r="S64" s="350">
        <v>226</v>
      </c>
      <c r="T64" s="536">
        <v>159</v>
      </c>
      <c r="U64" s="537">
        <v>159</v>
      </c>
    </row>
    <row r="65" spans="2:22" ht="15" customHeight="1" x14ac:dyDescent="0.2">
      <c r="B65" s="874" t="s">
        <v>329</v>
      </c>
      <c r="C65" s="875"/>
      <c r="D65" s="875"/>
      <c r="E65" s="875"/>
      <c r="F65" s="875"/>
      <c r="G65" s="875"/>
      <c r="H65" s="875"/>
      <c r="I65" s="875"/>
      <c r="J65" s="875"/>
      <c r="K65" s="875"/>
      <c r="L65" s="876"/>
      <c r="M65" s="369" t="s">
        <v>52</v>
      </c>
      <c r="N65" s="368">
        <v>334</v>
      </c>
      <c r="O65" s="740">
        <v>3942265</v>
      </c>
      <c r="P65" s="738">
        <v>131903</v>
      </c>
      <c r="Q65" s="738">
        <v>1303298</v>
      </c>
      <c r="R65" s="738">
        <v>1886834</v>
      </c>
      <c r="S65" s="371">
        <v>479</v>
      </c>
      <c r="T65" s="388">
        <v>333</v>
      </c>
      <c r="U65" s="389">
        <v>333</v>
      </c>
    </row>
    <row r="66" spans="2:22" s="52" customFormat="1" ht="15" hidden="1" customHeight="1" x14ac:dyDescent="0.2">
      <c r="B66" s="880"/>
      <c r="C66" s="881"/>
      <c r="D66" s="881"/>
      <c r="E66" s="881"/>
      <c r="F66" s="881"/>
      <c r="G66" s="881"/>
      <c r="H66" s="881"/>
      <c r="I66" s="881"/>
      <c r="J66" s="881"/>
      <c r="K66" s="881"/>
      <c r="L66" s="882"/>
      <c r="M66" s="59"/>
      <c r="N66" s="60"/>
      <c r="O66" s="765"/>
      <c r="P66" s="766"/>
      <c r="Q66" s="766"/>
      <c r="R66" s="766"/>
      <c r="S66" s="56"/>
      <c r="T66" s="61"/>
      <c r="U66" s="62"/>
    </row>
    <row r="67" spans="2:22" ht="15" customHeight="1" x14ac:dyDescent="0.2">
      <c r="B67" s="874" t="s">
        <v>330</v>
      </c>
      <c r="C67" s="875"/>
      <c r="D67" s="875"/>
      <c r="E67" s="875"/>
      <c r="F67" s="875"/>
      <c r="G67" s="875"/>
      <c r="H67" s="875"/>
      <c r="I67" s="875"/>
      <c r="J67" s="875"/>
      <c r="K67" s="875"/>
      <c r="L67" s="876"/>
      <c r="M67" s="369" t="s">
        <v>225</v>
      </c>
      <c r="N67" s="534">
        <v>173</v>
      </c>
      <c r="O67" s="738">
        <v>1557295</v>
      </c>
      <c r="P67" s="767">
        <v>42008</v>
      </c>
      <c r="Q67" s="738">
        <v>395976</v>
      </c>
      <c r="R67" s="767">
        <v>488895</v>
      </c>
      <c r="S67" s="371">
        <v>205</v>
      </c>
      <c r="T67" s="535">
        <v>162</v>
      </c>
      <c r="U67" s="389">
        <v>162</v>
      </c>
    </row>
    <row r="68" spans="2:22" ht="15" customHeight="1" thickBot="1" x14ac:dyDescent="0.25">
      <c r="B68" s="877" t="s">
        <v>331</v>
      </c>
      <c r="C68" s="878"/>
      <c r="D68" s="878"/>
      <c r="E68" s="878"/>
      <c r="F68" s="878"/>
      <c r="G68" s="878"/>
      <c r="H68" s="878"/>
      <c r="I68" s="878"/>
      <c r="J68" s="878"/>
      <c r="K68" s="878"/>
      <c r="L68" s="879"/>
      <c r="M68" s="518" t="s">
        <v>53</v>
      </c>
      <c r="N68" s="519">
        <v>74</v>
      </c>
      <c r="O68" s="737">
        <v>258581</v>
      </c>
      <c r="P68" s="768">
        <v>15872</v>
      </c>
      <c r="Q68" s="737">
        <v>149065</v>
      </c>
      <c r="R68" s="768">
        <v>153835</v>
      </c>
      <c r="S68" s="51">
        <v>80</v>
      </c>
      <c r="T68" s="520">
        <v>65</v>
      </c>
      <c r="U68" s="521">
        <v>65</v>
      </c>
    </row>
    <row r="69" spans="2:22" ht="31.5" customHeight="1" thickBot="1" x14ac:dyDescent="0.25">
      <c r="B69" s="866" t="s">
        <v>332</v>
      </c>
      <c r="C69" s="867"/>
      <c r="D69" s="867"/>
      <c r="E69" s="867"/>
      <c r="F69" s="867"/>
      <c r="G69" s="867"/>
      <c r="H69" s="867"/>
      <c r="I69" s="867"/>
      <c r="J69" s="867"/>
      <c r="K69" s="867"/>
      <c r="L69" s="868"/>
      <c r="M69" s="392">
        <v>24</v>
      </c>
      <c r="N69" s="393">
        <f>SUM(N71,N72)</f>
        <v>24</v>
      </c>
      <c r="O69" s="761">
        <f t="shared" ref="O69:U69" si="18">SUM(O71,O72)</f>
        <v>435659</v>
      </c>
      <c r="P69" s="799">
        <f t="shared" si="18"/>
        <v>8263</v>
      </c>
      <c r="Q69" s="761">
        <f t="shared" si="18"/>
        <v>186547</v>
      </c>
      <c r="R69" s="761">
        <f t="shared" si="18"/>
        <v>114835</v>
      </c>
      <c r="S69" s="393">
        <f t="shared" si="18"/>
        <v>34</v>
      </c>
      <c r="T69" s="393">
        <f t="shared" si="18"/>
        <v>23</v>
      </c>
      <c r="U69" s="393">
        <f t="shared" si="18"/>
        <v>23</v>
      </c>
      <c r="V69" s="21"/>
    </row>
    <row r="70" spans="2:22" ht="15" hidden="1" customHeight="1" x14ac:dyDescent="0.2">
      <c r="B70" s="886" t="s">
        <v>50</v>
      </c>
      <c r="C70" s="887"/>
      <c r="D70" s="887"/>
      <c r="E70" s="887"/>
      <c r="F70" s="887"/>
      <c r="G70" s="887"/>
      <c r="H70" s="887"/>
      <c r="I70" s="887"/>
      <c r="J70" s="887"/>
      <c r="K70" s="887"/>
      <c r="L70" s="888"/>
      <c r="M70" s="58" t="s">
        <v>55</v>
      </c>
      <c r="N70" s="63">
        <v>0</v>
      </c>
      <c r="O70" s="769">
        <v>0</v>
      </c>
      <c r="P70" s="770">
        <v>0</v>
      </c>
      <c r="Q70" s="769">
        <v>0</v>
      </c>
      <c r="R70" s="770">
        <v>0</v>
      </c>
      <c r="S70" s="55">
        <v>0</v>
      </c>
      <c r="T70" s="64">
        <v>0</v>
      </c>
      <c r="U70" s="65">
        <v>0</v>
      </c>
    </row>
    <row r="71" spans="2:22" ht="15" customHeight="1" x14ac:dyDescent="0.2">
      <c r="B71" s="874" t="s">
        <v>333</v>
      </c>
      <c r="C71" s="875"/>
      <c r="D71" s="875"/>
      <c r="E71" s="875"/>
      <c r="F71" s="875"/>
      <c r="G71" s="875"/>
      <c r="H71" s="875"/>
      <c r="I71" s="875"/>
      <c r="J71" s="875"/>
      <c r="K71" s="875"/>
      <c r="L71" s="876"/>
      <c r="M71" s="369" t="s">
        <v>55</v>
      </c>
      <c r="N71" s="519">
        <v>21</v>
      </c>
      <c r="O71" s="754">
        <v>423956</v>
      </c>
      <c r="P71" s="800">
        <v>8013</v>
      </c>
      <c r="Q71" s="754">
        <v>184927</v>
      </c>
      <c r="R71" s="771">
        <v>114127</v>
      </c>
      <c r="S71" s="522">
        <v>32</v>
      </c>
      <c r="T71" s="523">
        <v>20</v>
      </c>
      <c r="U71" s="524">
        <v>20</v>
      </c>
    </row>
    <row r="72" spans="2:22" ht="15" customHeight="1" thickBot="1" x14ac:dyDescent="0.25">
      <c r="B72" s="889" t="s">
        <v>334</v>
      </c>
      <c r="C72" s="890"/>
      <c r="D72" s="890"/>
      <c r="E72" s="890"/>
      <c r="F72" s="890"/>
      <c r="G72" s="890"/>
      <c r="H72" s="890"/>
      <c r="I72" s="890"/>
      <c r="J72" s="890"/>
      <c r="K72" s="890"/>
      <c r="L72" s="891"/>
      <c r="M72" s="526" t="s">
        <v>56</v>
      </c>
      <c r="N72" s="525">
        <v>3</v>
      </c>
      <c r="O72" s="772">
        <v>11703</v>
      </c>
      <c r="P72" s="773">
        <v>250</v>
      </c>
      <c r="Q72" s="801">
        <v>1620</v>
      </c>
      <c r="R72" s="773">
        <v>708</v>
      </c>
      <c r="S72" s="527">
        <v>2</v>
      </c>
      <c r="T72" s="528">
        <v>3</v>
      </c>
      <c r="U72" s="529">
        <v>3</v>
      </c>
    </row>
    <row r="73" spans="2:22" ht="15" hidden="1" customHeight="1" thickBot="1" x14ac:dyDescent="0.25">
      <c r="B73" s="892" t="s">
        <v>54</v>
      </c>
      <c r="C73" s="893"/>
      <c r="D73" s="893"/>
      <c r="E73" s="893"/>
      <c r="F73" s="893"/>
      <c r="G73" s="893"/>
      <c r="H73" s="893"/>
      <c r="I73" s="893"/>
      <c r="J73" s="893"/>
      <c r="K73" s="893"/>
      <c r="L73" s="894"/>
      <c r="M73" s="66" t="s">
        <v>57</v>
      </c>
      <c r="N73" s="67">
        <v>0</v>
      </c>
      <c r="O73" s="774">
        <v>0</v>
      </c>
      <c r="P73" s="775">
        <v>0</v>
      </c>
      <c r="Q73" s="774">
        <v>0</v>
      </c>
      <c r="R73" s="775">
        <v>0</v>
      </c>
      <c r="S73" s="68">
        <v>0</v>
      </c>
      <c r="T73" s="69">
        <v>0</v>
      </c>
      <c r="U73" s="70">
        <v>0</v>
      </c>
    </row>
    <row r="74" spans="2:22" ht="23.25" customHeight="1" thickBot="1" x14ac:dyDescent="0.25">
      <c r="B74" s="895" t="s">
        <v>335</v>
      </c>
      <c r="C74" s="896"/>
      <c r="D74" s="896"/>
      <c r="E74" s="896"/>
      <c r="F74" s="896"/>
      <c r="G74" s="896"/>
      <c r="H74" s="896"/>
      <c r="I74" s="896"/>
      <c r="J74" s="896"/>
      <c r="K74" s="896"/>
      <c r="L74" s="897"/>
      <c r="M74" s="490">
        <v>25</v>
      </c>
      <c r="N74" s="530">
        <f>SUM(N75)</f>
        <v>9</v>
      </c>
      <c r="O74" s="776">
        <f t="shared" ref="O74:U74" si="19">SUM(O75,O76)</f>
        <v>64621</v>
      </c>
      <c r="P74" s="802">
        <f t="shared" si="19"/>
        <v>6757</v>
      </c>
      <c r="Q74" s="776">
        <f t="shared" si="19"/>
        <v>48245</v>
      </c>
      <c r="R74" s="776">
        <f t="shared" si="19"/>
        <v>59070</v>
      </c>
      <c r="S74" s="530">
        <f t="shared" si="19"/>
        <v>13</v>
      </c>
      <c r="T74" s="530">
        <f t="shared" si="19"/>
        <v>9</v>
      </c>
      <c r="U74" s="394">
        <f t="shared" si="19"/>
        <v>9</v>
      </c>
    </row>
    <row r="75" spans="2:22" ht="14.25" customHeight="1" thickBot="1" x14ac:dyDescent="0.25">
      <c r="B75" s="877" t="s">
        <v>329</v>
      </c>
      <c r="C75" s="878"/>
      <c r="D75" s="878"/>
      <c r="E75" s="878"/>
      <c r="F75" s="878"/>
      <c r="G75" s="878"/>
      <c r="H75" s="878"/>
      <c r="I75" s="878"/>
      <c r="J75" s="878"/>
      <c r="K75" s="878"/>
      <c r="L75" s="879"/>
      <c r="M75" s="361" t="s">
        <v>58</v>
      </c>
      <c r="N75" s="531">
        <v>9</v>
      </c>
      <c r="O75" s="762">
        <v>64621</v>
      </c>
      <c r="P75" s="803">
        <v>6757</v>
      </c>
      <c r="Q75" s="762">
        <v>48245</v>
      </c>
      <c r="R75" s="777">
        <v>59070</v>
      </c>
      <c r="S75" s="362">
        <v>13</v>
      </c>
      <c r="T75" s="532">
        <v>9</v>
      </c>
      <c r="U75" s="533">
        <v>9</v>
      </c>
    </row>
    <row r="76" spans="2:22" ht="15" hidden="1" customHeight="1" thickBot="1" x14ac:dyDescent="0.25">
      <c r="B76" s="898" t="s">
        <v>59</v>
      </c>
      <c r="C76" s="899"/>
      <c r="D76" s="899"/>
      <c r="E76" s="899"/>
      <c r="F76" s="899"/>
      <c r="G76" s="899"/>
      <c r="H76" s="899"/>
      <c r="I76" s="899"/>
      <c r="J76" s="899"/>
      <c r="K76" s="899"/>
      <c r="L76" s="900"/>
      <c r="M76" s="57" t="s">
        <v>60</v>
      </c>
      <c r="N76" s="63">
        <v>0</v>
      </c>
      <c r="O76" s="769">
        <v>0</v>
      </c>
      <c r="P76" s="770">
        <v>0</v>
      </c>
      <c r="Q76" s="769">
        <v>0</v>
      </c>
      <c r="R76" s="770">
        <v>0</v>
      </c>
      <c r="S76" s="55">
        <v>0</v>
      </c>
      <c r="T76" s="64">
        <v>0</v>
      </c>
      <c r="U76" s="65">
        <v>0</v>
      </c>
    </row>
    <row r="77" spans="2:22" s="53" customFormat="1" ht="24" customHeight="1" x14ac:dyDescent="0.2">
      <c r="B77" s="901" t="s">
        <v>336</v>
      </c>
      <c r="C77" s="902"/>
      <c r="D77" s="902"/>
      <c r="E77" s="902"/>
      <c r="F77" s="902"/>
      <c r="G77" s="902"/>
      <c r="H77" s="902"/>
      <c r="I77" s="902"/>
      <c r="J77" s="902"/>
      <c r="K77" s="902"/>
      <c r="L77" s="903"/>
      <c r="M77" s="499">
        <v>26</v>
      </c>
      <c r="N77" s="551">
        <v>56</v>
      </c>
      <c r="O77" s="778">
        <v>376239</v>
      </c>
      <c r="P77" s="778">
        <v>10535</v>
      </c>
      <c r="Q77" s="778">
        <v>65822</v>
      </c>
      <c r="R77" s="778">
        <v>79748</v>
      </c>
      <c r="S77" s="501">
        <v>41</v>
      </c>
      <c r="T77" s="500">
        <v>38</v>
      </c>
      <c r="U77" s="502">
        <v>38</v>
      </c>
    </row>
    <row r="78" spans="2:22" ht="15" customHeight="1" x14ac:dyDescent="0.2">
      <c r="B78" s="847" t="s">
        <v>337</v>
      </c>
      <c r="C78" s="848"/>
      <c r="D78" s="848"/>
      <c r="E78" s="848"/>
      <c r="F78" s="848"/>
      <c r="G78" s="848"/>
      <c r="H78" s="848"/>
      <c r="I78" s="848"/>
      <c r="J78" s="848"/>
      <c r="K78" s="848"/>
      <c r="L78" s="849"/>
      <c r="M78" s="364">
        <v>27</v>
      </c>
      <c r="N78" s="495">
        <v>5</v>
      </c>
      <c r="O78" s="756">
        <v>18759</v>
      </c>
      <c r="P78" s="779">
        <v>294</v>
      </c>
      <c r="Q78" s="804">
        <v>5888</v>
      </c>
      <c r="R78" s="805">
        <v>1516</v>
      </c>
      <c r="S78" s="496">
        <v>2</v>
      </c>
      <c r="T78" s="497">
        <v>4</v>
      </c>
      <c r="U78" s="498">
        <v>4</v>
      </c>
    </row>
    <row r="79" spans="2:22" ht="15" customHeight="1" x14ac:dyDescent="0.2">
      <c r="B79" s="847" t="s">
        <v>338</v>
      </c>
      <c r="C79" s="848"/>
      <c r="D79" s="848"/>
      <c r="E79" s="848"/>
      <c r="F79" s="848"/>
      <c r="G79" s="848"/>
      <c r="H79" s="848"/>
      <c r="I79" s="848"/>
      <c r="J79" s="848"/>
      <c r="K79" s="848"/>
      <c r="L79" s="849"/>
      <c r="M79" s="364">
        <v>28</v>
      </c>
      <c r="N79" s="495">
        <v>3</v>
      </c>
      <c r="O79" s="804">
        <v>6308</v>
      </c>
      <c r="P79" s="779">
        <v>154</v>
      </c>
      <c r="Q79" s="756">
        <v>940</v>
      </c>
      <c r="R79" s="805">
        <v>1469</v>
      </c>
      <c r="S79" s="496">
        <v>2</v>
      </c>
      <c r="T79" s="497">
        <v>2</v>
      </c>
      <c r="U79" s="498">
        <v>2</v>
      </c>
    </row>
    <row r="80" spans="2:22" ht="15" customHeight="1" thickBot="1" x14ac:dyDescent="0.25">
      <c r="B80" s="904" t="s">
        <v>339</v>
      </c>
      <c r="C80" s="905"/>
      <c r="D80" s="905"/>
      <c r="E80" s="905"/>
      <c r="F80" s="905"/>
      <c r="G80" s="905"/>
      <c r="H80" s="905"/>
      <c r="I80" s="905"/>
      <c r="J80" s="905"/>
      <c r="K80" s="905"/>
      <c r="L80" s="906"/>
      <c r="M80" s="490">
        <v>29</v>
      </c>
      <c r="N80" s="491">
        <v>1</v>
      </c>
      <c r="O80" s="806">
        <v>5086</v>
      </c>
      <c r="P80" s="781">
        <v>61</v>
      </c>
      <c r="Q80" s="780">
        <v>548</v>
      </c>
      <c r="R80" s="781">
        <v>375</v>
      </c>
      <c r="S80" s="492">
        <v>0</v>
      </c>
      <c r="T80" s="493">
        <v>0</v>
      </c>
      <c r="U80" s="494">
        <v>0</v>
      </c>
    </row>
    <row r="81" spans="1:22" ht="18.75" customHeight="1" thickBot="1" x14ac:dyDescent="0.25">
      <c r="B81" s="883" t="s">
        <v>284</v>
      </c>
      <c r="C81" s="884"/>
      <c r="D81" s="884"/>
      <c r="E81" s="884"/>
      <c r="F81" s="884"/>
      <c r="G81" s="884"/>
      <c r="H81" s="884"/>
      <c r="I81" s="884"/>
      <c r="J81" s="884"/>
      <c r="K81" s="884"/>
      <c r="L81" s="885"/>
      <c r="M81" s="392">
        <v>30</v>
      </c>
      <c r="N81" s="393">
        <f t="shared" ref="N81:U81" si="20">SUM(N38,N46)</f>
        <v>2152</v>
      </c>
      <c r="O81" s="761">
        <f t="shared" si="20"/>
        <v>47351871</v>
      </c>
      <c r="P81" s="761">
        <f t="shared" si="20"/>
        <v>945892</v>
      </c>
      <c r="Q81" s="761">
        <f t="shared" si="20"/>
        <v>15775310</v>
      </c>
      <c r="R81" s="761">
        <f t="shared" si="20"/>
        <v>17253310</v>
      </c>
      <c r="S81" s="393">
        <f t="shared" si="20"/>
        <v>4772</v>
      </c>
      <c r="T81" s="393">
        <f t="shared" si="20"/>
        <v>2102</v>
      </c>
      <c r="U81" s="394">
        <f t="shared" si="20"/>
        <v>2102</v>
      </c>
      <c r="V81" s="21"/>
    </row>
    <row r="82" spans="1:22" ht="15.6" hidden="1" customHeight="1" x14ac:dyDescent="0.2">
      <c r="B82" s="907" t="s">
        <v>61</v>
      </c>
      <c r="C82" s="907"/>
      <c r="D82" s="907"/>
      <c r="E82" s="907"/>
      <c r="F82" s="907"/>
      <c r="G82" s="907"/>
      <c r="N82" s="54"/>
      <c r="O82" s="54"/>
      <c r="P82" s="54"/>
      <c r="R82" s="908" t="s">
        <v>62</v>
      </c>
      <c r="S82" s="908"/>
      <c r="T82" s="908"/>
      <c r="U82" s="908"/>
    </row>
    <row r="83" spans="1:22" ht="15.6" hidden="1" customHeight="1" x14ac:dyDescent="0.2"/>
    <row r="84" spans="1:22" ht="3.75" customHeight="1" x14ac:dyDescent="0.2"/>
    <row r="85" spans="1:22" ht="19.5" customHeight="1" x14ac:dyDescent="0.2"/>
    <row r="86" spans="1:22" ht="3.75" hidden="1" customHeight="1" x14ac:dyDescent="0.2"/>
    <row r="87" spans="1:22" ht="12.75" customHeight="1" x14ac:dyDescent="0.2">
      <c r="B87" s="909"/>
      <c r="C87" s="909"/>
      <c r="D87" s="909"/>
      <c r="E87" s="909"/>
      <c r="F87" s="909"/>
      <c r="G87" s="909"/>
      <c r="H87" s="909"/>
      <c r="I87" s="909"/>
      <c r="J87" s="909"/>
      <c r="K87" s="909"/>
      <c r="L87" s="909"/>
      <c r="S87" s="910"/>
      <c r="T87" s="910"/>
      <c r="U87" s="910"/>
    </row>
    <row r="88" spans="1:22" ht="8.25" customHeight="1" x14ac:dyDescent="0.2">
      <c r="S88" s="671"/>
      <c r="T88" s="671"/>
      <c r="U88" s="671"/>
    </row>
    <row r="89" spans="1:22" ht="12.75" customHeight="1" x14ac:dyDescent="0.2"/>
    <row r="92" spans="1:22" ht="15.6" customHeight="1" x14ac:dyDescent="0.2">
      <c r="A92" s="670"/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911"/>
      <c r="T92" s="911"/>
      <c r="U92" s="911"/>
    </row>
    <row r="93" spans="1:22" ht="15.6" customHeight="1" x14ac:dyDescent="0.2">
      <c r="A93" s="670"/>
      <c r="B93" s="670"/>
      <c r="C93" s="670"/>
      <c r="D93" s="670"/>
      <c r="E93" s="670"/>
      <c r="F93" s="670"/>
      <c r="G93" s="670"/>
      <c r="H93" s="670"/>
      <c r="I93" s="670"/>
      <c r="J93" s="670"/>
      <c r="K93" s="670"/>
      <c r="L93" s="670"/>
      <c r="M93" s="670"/>
      <c r="N93" s="670"/>
      <c r="O93" s="670"/>
      <c r="P93" s="670"/>
      <c r="Q93" s="670"/>
      <c r="R93" s="670"/>
      <c r="S93" s="670"/>
      <c r="T93" s="670"/>
      <c r="U93" s="670"/>
    </row>
  </sheetData>
  <mergeCells count="76">
    <mergeCell ref="B82:G82"/>
    <mergeCell ref="R82:U82"/>
    <mergeCell ref="B87:L87"/>
    <mergeCell ref="S87:U87"/>
    <mergeCell ref="S92:U92"/>
    <mergeCell ref="B81:L81"/>
    <mergeCell ref="B70:L70"/>
    <mergeCell ref="B71:L71"/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69:L69"/>
    <mergeCell ref="B58:L58"/>
    <mergeCell ref="B59:L59"/>
    <mergeCell ref="B60:L60"/>
    <mergeCell ref="B61:L61"/>
    <mergeCell ref="B62:L62"/>
    <mergeCell ref="B63:L63"/>
    <mergeCell ref="B64:L64"/>
    <mergeCell ref="B65:L65"/>
    <mergeCell ref="B66:L66"/>
    <mergeCell ref="B67:L67"/>
    <mergeCell ref="B68:L68"/>
    <mergeCell ref="B56:L56"/>
    <mergeCell ref="B45:L45"/>
    <mergeCell ref="B46:L46"/>
    <mergeCell ref="B47:L47"/>
    <mergeCell ref="B48:L48"/>
    <mergeCell ref="B49:L49"/>
    <mergeCell ref="B50:L50"/>
    <mergeCell ref="B51:L51"/>
    <mergeCell ref="B52:L52"/>
    <mergeCell ref="B53:L53"/>
    <mergeCell ref="B54:L54"/>
    <mergeCell ref="B55:L55"/>
    <mergeCell ref="T42:U42"/>
    <mergeCell ref="B28:L28"/>
    <mergeCell ref="B32:L32"/>
    <mergeCell ref="B33:L33"/>
    <mergeCell ref="B34:L34"/>
    <mergeCell ref="B35:L35"/>
    <mergeCell ref="B36:L36"/>
    <mergeCell ref="B37:L37"/>
    <mergeCell ref="B38:L38"/>
    <mergeCell ref="O41:S41"/>
    <mergeCell ref="T41:U41"/>
    <mergeCell ref="B27:L27"/>
    <mergeCell ref="B16:L16"/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15:L15"/>
    <mergeCell ref="B2:U2"/>
    <mergeCell ref="B3:U3"/>
    <mergeCell ref="B5:U5"/>
    <mergeCell ref="R6:U6"/>
    <mergeCell ref="O7:S7"/>
    <mergeCell ref="T7:U7"/>
    <mergeCell ref="T8:U8"/>
    <mergeCell ref="B11:L11"/>
    <mergeCell ref="B12:L12"/>
    <mergeCell ref="B13:L13"/>
    <mergeCell ref="B14:L14"/>
  </mergeCells>
  <pageMargins left="0.7" right="0.7" top="0.75" bottom="0.75" header="0.3" footer="0.3"/>
  <pageSetup paperSize="9" scale="69" fitToHeight="0" orientation="portrait" r:id="rId1"/>
  <headerFooter alignWithMargins="0"/>
  <rowBreaks count="1" manualBreakCount="1">
    <brk id="3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Normal="100" workbookViewId="0">
      <selection activeCell="C12" sqref="C12:J12"/>
    </sheetView>
  </sheetViews>
  <sheetFormatPr defaultColWidth="9.140625" defaultRowHeight="12.75" x14ac:dyDescent="0.2"/>
  <cols>
    <col min="1" max="1" width="9.140625" style="72"/>
    <col min="2" max="2" width="22.5703125" style="72" customWidth="1"/>
    <col min="3" max="3" width="8" style="72" customWidth="1"/>
    <col min="4" max="4" width="9.140625" style="72"/>
    <col min="5" max="5" width="8.140625" style="72" customWidth="1"/>
    <col min="6" max="6" width="9.140625" style="72"/>
    <col min="7" max="7" width="10.42578125" style="72" customWidth="1"/>
    <col min="8" max="8" width="11.42578125" style="72" customWidth="1"/>
    <col min="9" max="9" width="7.7109375" style="72" customWidth="1"/>
    <col min="10" max="16384" width="9.140625" style="72"/>
  </cols>
  <sheetData>
    <row r="1" spans="1:10" ht="15.75" x14ac:dyDescent="0.25">
      <c r="B1" s="71"/>
      <c r="C1" s="71"/>
      <c r="D1" s="71"/>
      <c r="E1" s="71"/>
      <c r="F1" s="71"/>
      <c r="G1" s="71"/>
      <c r="H1" s="71"/>
      <c r="I1" s="71"/>
      <c r="J1" s="71"/>
    </row>
    <row r="2" spans="1:10" ht="15.75" customHeight="1" x14ac:dyDescent="0.2">
      <c r="B2" s="923" t="s">
        <v>63</v>
      </c>
      <c r="C2" s="923"/>
      <c r="D2" s="923"/>
      <c r="E2" s="923"/>
      <c r="F2" s="923"/>
      <c r="G2" s="923"/>
      <c r="H2" s="923"/>
      <c r="I2" s="923"/>
      <c r="J2" s="923"/>
    </row>
    <row r="3" spans="1:10" ht="15.75" customHeight="1" x14ac:dyDescent="0.2">
      <c r="B3" s="923" t="s">
        <v>64</v>
      </c>
      <c r="C3" s="923"/>
      <c r="D3" s="923"/>
      <c r="E3" s="923"/>
      <c r="F3" s="923"/>
      <c r="G3" s="923"/>
      <c r="H3" s="923"/>
      <c r="I3" s="923"/>
      <c r="J3" s="923"/>
    </row>
    <row r="4" spans="1:10" ht="15.75" x14ac:dyDescent="0.25">
      <c r="B4" s="73"/>
      <c r="C4" s="71"/>
      <c r="D4" s="71"/>
      <c r="E4" s="71"/>
      <c r="F4" s="71"/>
      <c r="G4" s="71"/>
      <c r="H4" s="71"/>
      <c r="I4" s="924" t="s">
        <v>283</v>
      </c>
      <c r="J4" s="924"/>
    </row>
    <row r="5" spans="1:10" ht="15" x14ac:dyDescent="0.2">
      <c r="B5" s="925" t="s">
        <v>65</v>
      </c>
      <c r="C5" s="925"/>
      <c r="D5" s="925"/>
      <c r="E5" s="925"/>
      <c r="F5" s="925"/>
      <c r="G5" s="925"/>
      <c r="H5" s="925"/>
      <c r="I5" s="925"/>
      <c r="J5" s="925"/>
    </row>
    <row r="6" spans="1:10" ht="18" customHeight="1" x14ac:dyDescent="0.25">
      <c r="B6" s="74"/>
      <c r="C6" s="71"/>
      <c r="D6" s="71"/>
      <c r="E6" s="71"/>
      <c r="F6" s="71"/>
      <c r="G6" s="71"/>
      <c r="H6" s="71"/>
      <c r="I6" s="71"/>
      <c r="J6" s="71"/>
    </row>
    <row r="7" spans="1:10" ht="18" customHeight="1" x14ac:dyDescent="0.2">
      <c r="B7" s="926"/>
      <c r="C7" s="912" t="s">
        <v>66</v>
      </c>
      <c r="D7" s="912" t="s">
        <v>67</v>
      </c>
      <c r="E7" s="912" t="s">
        <v>68</v>
      </c>
      <c r="F7" s="912" t="s">
        <v>69</v>
      </c>
      <c r="G7" s="912" t="s">
        <v>70</v>
      </c>
      <c r="H7" s="912" t="s">
        <v>222</v>
      </c>
      <c r="I7" s="915" t="s">
        <v>223</v>
      </c>
      <c r="J7" s="916"/>
    </row>
    <row r="8" spans="1:10" ht="18" customHeight="1" x14ac:dyDescent="0.2">
      <c r="B8" s="927"/>
      <c r="C8" s="913"/>
      <c r="D8" s="913"/>
      <c r="E8" s="913"/>
      <c r="F8" s="913"/>
      <c r="G8" s="913"/>
      <c r="H8" s="913"/>
      <c r="I8" s="917"/>
      <c r="J8" s="918"/>
    </row>
    <row r="9" spans="1:10" ht="18" customHeight="1" x14ac:dyDescent="0.2">
      <c r="B9" s="927"/>
      <c r="C9" s="913"/>
      <c r="D9" s="913"/>
      <c r="E9" s="913"/>
      <c r="F9" s="913"/>
      <c r="G9" s="913"/>
      <c r="H9" s="913"/>
      <c r="I9" s="919" t="s">
        <v>73</v>
      </c>
      <c r="J9" s="921" t="s">
        <v>74</v>
      </c>
    </row>
    <row r="10" spans="1:10" ht="18" customHeight="1" x14ac:dyDescent="0.2">
      <c r="B10" s="928"/>
      <c r="C10" s="914"/>
      <c r="D10" s="914"/>
      <c r="E10" s="914"/>
      <c r="F10" s="914"/>
      <c r="G10" s="914"/>
      <c r="H10" s="914"/>
      <c r="I10" s="920"/>
      <c r="J10" s="922"/>
    </row>
    <row r="11" spans="1:10" ht="18" customHeight="1" x14ac:dyDescent="0.2">
      <c r="B11" s="678">
        <v>1</v>
      </c>
      <c r="C11" s="679">
        <v>2</v>
      </c>
      <c r="D11" s="679">
        <v>3</v>
      </c>
      <c r="E11" s="679">
        <v>4</v>
      </c>
      <c r="F11" s="680">
        <v>5</v>
      </c>
      <c r="G11" s="679">
        <v>6</v>
      </c>
      <c r="H11" s="681">
        <v>7</v>
      </c>
      <c r="I11" s="679">
        <v>8</v>
      </c>
      <c r="J11" s="682">
        <v>9</v>
      </c>
    </row>
    <row r="12" spans="1:10" ht="18" customHeight="1" x14ac:dyDescent="0.2">
      <c r="B12" s="683" t="s">
        <v>75</v>
      </c>
      <c r="C12" s="75">
        <v>1</v>
      </c>
      <c r="D12" s="684">
        <v>6471869</v>
      </c>
      <c r="E12" s="684">
        <v>16312</v>
      </c>
      <c r="F12" s="685">
        <v>558526</v>
      </c>
      <c r="G12" s="684">
        <v>3403376</v>
      </c>
      <c r="H12" s="686">
        <v>224</v>
      </c>
      <c r="I12" s="687">
        <v>1</v>
      </c>
      <c r="J12" s="688">
        <v>1</v>
      </c>
    </row>
    <row r="13" spans="1:10" ht="18" customHeight="1" x14ac:dyDescent="0.2">
      <c r="B13" s="689" t="s">
        <v>280</v>
      </c>
      <c r="C13" s="76">
        <v>1</v>
      </c>
      <c r="D13" s="690">
        <v>6461041</v>
      </c>
      <c r="E13" s="690">
        <v>13575</v>
      </c>
      <c r="F13" s="691">
        <v>409834</v>
      </c>
      <c r="G13" s="690">
        <v>161739</v>
      </c>
      <c r="H13" s="692">
        <v>217</v>
      </c>
      <c r="I13" s="693">
        <v>1</v>
      </c>
      <c r="J13" s="694">
        <v>1</v>
      </c>
    </row>
    <row r="14" spans="1:10" ht="18" customHeight="1" x14ac:dyDescent="0.2">
      <c r="B14" s="695" t="s">
        <v>76</v>
      </c>
      <c r="C14" s="677">
        <f>SUM(C12-C13)</f>
        <v>0</v>
      </c>
      <c r="D14" s="696">
        <f>D12-D13</f>
        <v>10828</v>
      </c>
      <c r="E14" s="696">
        <f>E12-E13</f>
        <v>2737</v>
      </c>
      <c r="F14" s="696">
        <f>SUM(F12-F13)</f>
        <v>148692</v>
      </c>
      <c r="G14" s="696">
        <f>SUM(G12-G13)</f>
        <v>3241637</v>
      </c>
      <c r="H14" s="77">
        <f>SUM(H12-H13)</f>
        <v>7</v>
      </c>
      <c r="I14" s="77">
        <f>SUM(I12-I13)</f>
        <v>0</v>
      </c>
      <c r="J14" s="697">
        <f>SUM(J12-J13)</f>
        <v>0</v>
      </c>
    </row>
    <row r="15" spans="1:10" ht="18" customHeight="1" x14ac:dyDescent="0.2">
      <c r="A15" s="130"/>
      <c r="B15" s="698" t="s">
        <v>290</v>
      </c>
      <c r="C15" s="78">
        <v>1</v>
      </c>
      <c r="D15" s="699">
        <v>238374</v>
      </c>
      <c r="E15" s="699">
        <v>7773</v>
      </c>
      <c r="F15" s="699">
        <v>100268</v>
      </c>
      <c r="G15" s="699">
        <v>15753</v>
      </c>
      <c r="H15" s="700">
        <v>48</v>
      </c>
      <c r="I15" s="674">
        <v>1</v>
      </c>
      <c r="J15" s="701">
        <v>1</v>
      </c>
    </row>
    <row r="16" spans="1:10" ht="18" customHeight="1" x14ac:dyDescent="0.2">
      <c r="B16" s="689" t="s">
        <v>280</v>
      </c>
      <c r="C16" s="76">
        <v>1</v>
      </c>
      <c r="D16" s="702">
        <v>242842</v>
      </c>
      <c r="E16" s="702">
        <v>3910</v>
      </c>
      <c r="F16" s="702">
        <v>87495</v>
      </c>
      <c r="G16" s="702">
        <v>14586</v>
      </c>
      <c r="H16" s="703">
        <v>46</v>
      </c>
      <c r="I16" s="704">
        <v>1</v>
      </c>
      <c r="J16" s="705">
        <v>1</v>
      </c>
    </row>
    <row r="17" spans="2:14" ht="18" customHeight="1" x14ac:dyDescent="0.2">
      <c r="B17" s="695" t="s">
        <v>76</v>
      </c>
      <c r="C17" s="77">
        <f>SUM(C15-C16)</f>
        <v>0</v>
      </c>
      <c r="D17" s="696">
        <f t="shared" ref="D17:J17" si="0">SUM(D15-D16)</f>
        <v>-4468</v>
      </c>
      <c r="E17" s="696">
        <f t="shared" si="0"/>
        <v>3863</v>
      </c>
      <c r="F17" s="696">
        <f>SUM(F15-F16)</f>
        <v>12773</v>
      </c>
      <c r="G17" s="696">
        <f t="shared" si="0"/>
        <v>1167</v>
      </c>
      <c r="H17" s="706">
        <f t="shared" si="0"/>
        <v>2</v>
      </c>
      <c r="I17" s="77">
        <f t="shared" si="0"/>
        <v>0</v>
      </c>
      <c r="J17" s="697">
        <f t="shared" si="0"/>
        <v>0</v>
      </c>
    </row>
    <row r="18" spans="2:14" ht="18" customHeight="1" x14ac:dyDescent="0.2">
      <c r="B18" s="707" t="s">
        <v>77</v>
      </c>
      <c r="C18" s="79">
        <v>1</v>
      </c>
      <c r="D18" s="708">
        <v>1719759</v>
      </c>
      <c r="E18" s="709">
        <v>7584</v>
      </c>
      <c r="F18" s="710">
        <v>214117</v>
      </c>
      <c r="G18" s="710">
        <v>107788</v>
      </c>
      <c r="H18" s="711">
        <v>137</v>
      </c>
      <c r="I18" s="712">
        <v>1</v>
      </c>
      <c r="J18" s="713">
        <v>1</v>
      </c>
    </row>
    <row r="19" spans="2:14" ht="18" customHeight="1" x14ac:dyDescent="0.2">
      <c r="B19" s="707" t="s">
        <v>78</v>
      </c>
      <c r="C19" s="79">
        <v>1</v>
      </c>
      <c r="D19" s="708">
        <v>914140</v>
      </c>
      <c r="E19" s="714">
        <v>8056</v>
      </c>
      <c r="F19" s="715">
        <v>173673</v>
      </c>
      <c r="G19" s="715">
        <v>178624</v>
      </c>
      <c r="H19" s="716">
        <v>71</v>
      </c>
      <c r="I19" s="717">
        <v>1</v>
      </c>
      <c r="J19" s="713">
        <v>1</v>
      </c>
    </row>
    <row r="20" spans="2:14" ht="18" customHeight="1" x14ac:dyDescent="0.2">
      <c r="B20" s="707" t="s">
        <v>79</v>
      </c>
      <c r="C20" s="79">
        <v>1</v>
      </c>
      <c r="D20" s="708">
        <v>455681</v>
      </c>
      <c r="E20" s="714">
        <v>6700</v>
      </c>
      <c r="F20" s="718">
        <v>184538</v>
      </c>
      <c r="G20" s="715">
        <v>102154</v>
      </c>
      <c r="H20" s="716">
        <v>72</v>
      </c>
      <c r="I20" s="79">
        <v>1</v>
      </c>
      <c r="J20" s="713">
        <v>1</v>
      </c>
      <c r="M20" s="82"/>
    </row>
    <row r="21" spans="2:14" ht="18" customHeight="1" x14ac:dyDescent="0.2">
      <c r="B21" s="707" t="s">
        <v>80</v>
      </c>
      <c r="C21" s="79">
        <v>1</v>
      </c>
      <c r="D21" s="708">
        <v>482161</v>
      </c>
      <c r="E21" s="714">
        <v>6056</v>
      </c>
      <c r="F21" s="715">
        <v>112953</v>
      </c>
      <c r="G21" s="715">
        <v>93396</v>
      </c>
      <c r="H21" s="716">
        <v>44</v>
      </c>
      <c r="I21" s="79">
        <v>1</v>
      </c>
      <c r="J21" s="713">
        <v>1</v>
      </c>
    </row>
    <row r="22" spans="2:14" ht="18" customHeight="1" x14ac:dyDescent="0.2">
      <c r="B22" s="719" t="s">
        <v>81</v>
      </c>
      <c r="C22" s="83">
        <v>1</v>
      </c>
      <c r="D22" s="720">
        <v>408118</v>
      </c>
      <c r="E22" s="721">
        <v>12224</v>
      </c>
      <c r="F22" s="722">
        <v>276126</v>
      </c>
      <c r="G22" s="722">
        <v>211558</v>
      </c>
      <c r="H22" s="723">
        <v>62</v>
      </c>
      <c r="I22" s="704">
        <v>1</v>
      </c>
      <c r="J22" s="705">
        <v>1</v>
      </c>
      <c r="N22" s="82"/>
    </row>
    <row r="23" spans="2:14" ht="18" customHeight="1" x14ac:dyDescent="0.2">
      <c r="B23" s="698" t="s">
        <v>82</v>
      </c>
      <c r="C23" s="674">
        <f t="shared" ref="C23" si="1">SUM(C18:C22)</f>
        <v>5</v>
      </c>
      <c r="D23" s="724">
        <f>SUM(D18:D22)</f>
        <v>3979859</v>
      </c>
      <c r="E23" s="724">
        <f t="shared" ref="E23:J23" si="2">SUM(E18:E22)</f>
        <v>40620</v>
      </c>
      <c r="F23" s="724">
        <f t="shared" si="2"/>
        <v>961407</v>
      </c>
      <c r="G23" s="724">
        <f t="shared" si="2"/>
        <v>693520</v>
      </c>
      <c r="H23" s="725">
        <f t="shared" si="2"/>
        <v>386</v>
      </c>
      <c r="I23" s="725">
        <f t="shared" si="2"/>
        <v>5</v>
      </c>
      <c r="J23" s="726">
        <f t="shared" si="2"/>
        <v>5</v>
      </c>
      <c r="N23" s="82"/>
    </row>
    <row r="24" spans="2:14" ht="18" customHeight="1" x14ac:dyDescent="0.2">
      <c r="B24" s="727" t="s">
        <v>280</v>
      </c>
      <c r="C24" s="160">
        <v>5</v>
      </c>
      <c r="D24" s="728">
        <v>4063630</v>
      </c>
      <c r="E24" s="728">
        <v>39524</v>
      </c>
      <c r="F24" s="728">
        <v>720566</v>
      </c>
      <c r="G24" s="728">
        <v>535360</v>
      </c>
      <c r="H24" s="729">
        <v>391</v>
      </c>
      <c r="I24" s="729">
        <v>5</v>
      </c>
      <c r="J24" s="729">
        <v>5</v>
      </c>
    </row>
    <row r="25" spans="2:14" ht="18" customHeight="1" x14ac:dyDescent="0.2">
      <c r="B25" s="730" t="s">
        <v>76</v>
      </c>
      <c r="C25" s="319">
        <f>SUM(C23-C24)</f>
        <v>0</v>
      </c>
      <c r="D25" s="731">
        <f t="shared" ref="D25:J25" si="3">SUM(D23-D24)</f>
        <v>-83771</v>
      </c>
      <c r="E25" s="731">
        <f t="shared" si="3"/>
        <v>1096</v>
      </c>
      <c r="F25" s="731">
        <f t="shared" si="3"/>
        <v>240841</v>
      </c>
      <c r="G25" s="731">
        <f t="shared" si="3"/>
        <v>158160</v>
      </c>
      <c r="H25" s="732">
        <f t="shared" si="3"/>
        <v>-5</v>
      </c>
      <c r="I25" s="732">
        <f t="shared" si="3"/>
        <v>0</v>
      </c>
      <c r="J25" s="733">
        <f t="shared" si="3"/>
        <v>0</v>
      </c>
    </row>
    <row r="26" spans="2:14" ht="18" customHeight="1" x14ac:dyDescent="0.2"/>
    <row r="27" spans="2:14" ht="18" customHeight="1" x14ac:dyDescent="0.2">
      <c r="B27" s="659"/>
      <c r="C27" s="82"/>
      <c r="D27" s="82"/>
      <c r="E27" s="82"/>
      <c r="F27" s="82"/>
      <c r="G27" s="82"/>
      <c r="H27" s="82"/>
      <c r="I27" s="82"/>
      <c r="J27" s="82"/>
      <c r="K27" s="82"/>
      <c r="L27" s="82"/>
    </row>
    <row r="28" spans="2:14" ht="18" customHeight="1" x14ac:dyDescent="0.2">
      <c r="B28" s="82"/>
      <c r="C28" s="85"/>
      <c r="D28" s="159"/>
      <c r="E28" s="159"/>
      <c r="F28" s="159"/>
      <c r="G28" s="159"/>
      <c r="H28" s="159"/>
      <c r="I28" s="159"/>
      <c r="J28" s="159"/>
      <c r="K28" s="85"/>
      <c r="L28" s="82"/>
    </row>
    <row r="29" spans="2:14" ht="18" customHeight="1" x14ac:dyDescent="0.2"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</row>
  </sheetData>
  <mergeCells count="14">
    <mergeCell ref="H7:H10"/>
    <mergeCell ref="I7:J8"/>
    <mergeCell ref="I9:I10"/>
    <mergeCell ref="J9:J10"/>
    <mergeCell ref="B2:J2"/>
    <mergeCell ref="B3:J3"/>
    <mergeCell ref="I4:J4"/>
    <mergeCell ref="B5:J5"/>
    <mergeCell ref="B7:B10"/>
    <mergeCell ref="C7:C10"/>
    <mergeCell ref="D7:D10"/>
    <mergeCell ref="E7:E10"/>
    <mergeCell ref="F7:F10"/>
    <mergeCell ref="G7:G10"/>
  </mergeCells>
  <pageMargins left="1.1811023622047245" right="0.75" top="0.98425196850393704" bottom="0.98425196850393704" header="0" footer="0"/>
  <pageSetup paperSize="9" scale="76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116"/>
  <sheetViews>
    <sheetView zoomScaleNormal="100" workbookViewId="0">
      <selection activeCell="L29" sqref="L29"/>
    </sheetView>
  </sheetViews>
  <sheetFormatPr defaultColWidth="9.140625" defaultRowHeight="12.75" x14ac:dyDescent="0.2"/>
  <cols>
    <col min="1" max="1" width="4.28515625" style="72" customWidth="1"/>
    <col min="2" max="2" width="15.5703125" style="72" customWidth="1"/>
    <col min="3" max="3" width="9.140625" style="72"/>
    <col min="4" max="4" width="9.28515625" style="72" customWidth="1"/>
    <col min="5" max="6" width="9.140625" style="72"/>
    <col min="7" max="7" width="10.28515625" style="130" customWidth="1"/>
    <col min="8" max="8" width="11.140625" style="72" customWidth="1"/>
    <col min="9" max="9" width="10" style="72" customWidth="1"/>
    <col min="10" max="10" width="9" style="72" customWidth="1"/>
    <col min="11" max="16384" width="9.140625" style="72"/>
  </cols>
  <sheetData>
    <row r="3" spans="1:11" ht="18" x14ac:dyDescent="0.25">
      <c r="C3" s="936" t="s">
        <v>83</v>
      </c>
      <c r="D3" s="936"/>
      <c r="E3" s="936"/>
      <c r="F3" s="936"/>
      <c r="G3" s="936"/>
      <c r="H3" s="936"/>
      <c r="I3" s="936"/>
    </row>
    <row r="5" spans="1:11" ht="15.75" customHeight="1" x14ac:dyDescent="0.2">
      <c r="C5" s="937" t="s">
        <v>65</v>
      </c>
      <c r="D5" s="937"/>
      <c r="E5" s="937"/>
      <c r="F5" s="937"/>
      <c r="G5" s="937"/>
      <c r="H5" s="937"/>
      <c r="I5" s="937"/>
    </row>
    <row r="7" spans="1:11" ht="12.75" customHeight="1" x14ac:dyDescent="0.2">
      <c r="C7" s="938" t="s">
        <v>289</v>
      </c>
      <c r="D7" s="938"/>
      <c r="E7" s="938"/>
      <c r="F7" s="938"/>
      <c r="G7" s="938"/>
      <c r="H7" s="938"/>
      <c r="I7" s="938"/>
    </row>
    <row r="8" spans="1:11" ht="9" customHeight="1" x14ac:dyDescent="0.2">
      <c r="A8" s="82"/>
      <c r="B8" s="86"/>
      <c r="C8" s="86"/>
      <c r="D8" s="86"/>
      <c r="E8" s="86"/>
      <c r="F8" s="86"/>
      <c r="G8" s="661"/>
      <c r="H8" s="86"/>
      <c r="I8" s="86"/>
      <c r="J8" s="86"/>
      <c r="K8" s="82"/>
    </row>
    <row r="9" spans="1:11" ht="19.5" customHeight="1" x14ac:dyDescent="0.2">
      <c r="A9" s="87"/>
      <c r="B9" s="929" t="s">
        <v>84</v>
      </c>
      <c r="C9" s="929" t="s">
        <v>85</v>
      </c>
      <c r="D9" s="929" t="s">
        <v>67</v>
      </c>
      <c r="E9" s="929" t="s">
        <v>68</v>
      </c>
      <c r="F9" s="929" t="s">
        <v>69</v>
      </c>
      <c r="G9" s="929" t="s">
        <v>70</v>
      </c>
      <c r="H9" s="929" t="s">
        <v>222</v>
      </c>
      <c r="I9" s="932" t="s">
        <v>223</v>
      </c>
      <c r="J9" s="933"/>
    </row>
    <row r="10" spans="1:11" ht="12.75" customHeight="1" x14ac:dyDescent="0.2">
      <c r="A10" s="87"/>
      <c r="B10" s="930"/>
      <c r="C10" s="930"/>
      <c r="D10" s="930"/>
      <c r="E10" s="930"/>
      <c r="F10" s="930"/>
      <c r="G10" s="930"/>
      <c r="H10" s="930"/>
      <c r="I10" s="934"/>
      <c r="J10" s="935"/>
    </row>
    <row r="11" spans="1:11" ht="20.25" customHeight="1" x14ac:dyDescent="0.2">
      <c r="A11" s="87"/>
      <c r="B11" s="931"/>
      <c r="C11" s="931"/>
      <c r="D11" s="931"/>
      <c r="E11" s="931"/>
      <c r="F11" s="931"/>
      <c r="G11" s="931"/>
      <c r="H11" s="931"/>
      <c r="I11" s="88" t="s">
        <v>73</v>
      </c>
      <c r="J11" s="89" t="s">
        <v>86</v>
      </c>
    </row>
    <row r="12" spans="1:11" x14ac:dyDescent="0.2">
      <c r="B12" s="90">
        <v>1</v>
      </c>
      <c r="C12" s="90">
        <v>2</v>
      </c>
      <c r="D12" s="90">
        <v>3</v>
      </c>
      <c r="E12" s="90">
        <v>4</v>
      </c>
      <c r="F12" s="90">
        <v>5</v>
      </c>
      <c r="G12" s="662">
        <v>6</v>
      </c>
      <c r="H12" s="90">
        <v>7</v>
      </c>
      <c r="I12" s="90">
        <v>8</v>
      </c>
      <c r="J12" s="106">
        <v>9</v>
      </c>
    </row>
    <row r="13" spans="1:11" x14ac:dyDescent="0.2">
      <c r="A13" s="87"/>
      <c r="B13" s="91" t="s">
        <v>87</v>
      </c>
      <c r="J13" s="618"/>
    </row>
    <row r="14" spans="1:11" x14ac:dyDescent="0.2">
      <c r="A14" s="87"/>
      <c r="B14" s="92" t="s">
        <v>88</v>
      </c>
      <c r="C14" s="93">
        <f>SUM(VIEŠOSIOS!C13, MIESTŲ_FIL!C13, KAIMO_FIL!C14)</f>
        <v>4</v>
      </c>
      <c r="D14" s="93">
        <f>SUM(VIEŠOSIOS!D13, MIESTŲ_FIL!D13, KAIMO_FIL!D14)</f>
        <v>150194</v>
      </c>
      <c r="E14" s="93">
        <f>SUM(VIEŠOSIOS!E13, MIESTŲ_FIL!E13, KAIMO_FIL!E14)</f>
        <v>4600</v>
      </c>
      <c r="F14" s="93">
        <f>SUM(VIEŠOSIOS!F13, MIESTŲ_FIL!F13, KAIMO_FIL!F14)</f>
        <v>142145</v>
      </c>
      <c r="G14" s="95">
        <f>SUM(VIEŠOSIOS!G13, MIESTŲ_FIL!G13, KAIMO_FIL!G14)</f>
        <v>89497</v>
      </c>
      <c r="H14" s="93">
        <f>SUM(VIEŠOSIOS!H13, MIESTŲ_FIL!H13, KAIMO_FIL!H14)</f>
        <v>25</v>
      </c>
      <c r="I14" s="93">
        <f>SUM(VIEŠOSIOS!I13, MIESTŲ_FIL!I13, KAIMO_FIL!I14)</f>
        <v>4</v>
      </c>
      <c r="J14" s="81">
        <f>SUM(VIEŠOSIOS!J13, MIESTŲ_FIL!J13, KAIMO_FIL!J14)</f>
        <v>4</v>
      </c>
    </row>
    <row r="15" spans="1:11" x14ac:dyDescent="0.2">
      <c r="A15" s="87"/>
      <c r="B15" s="94" t="s">
        <v>179</v>
      </c>
      <c r="C15" s="93">
        <f>SUM(VIEŠOSIOS!C14, MIESTŲ_FIL!C14, KAIMO_FIL!C15)</f>
        <v>34</v>
      </c>
      <c r="D15" s="93">
        <f>SUM(VIEŠOSIOS!D14, MIESTŲ_FIL!D14, KAIMO_FIL!D15)</f>
        <v>299628</v>
      </c>
      <c r="E15" s="93">
        <f>SUM(VIEŠOSIOS!E14, MIESTŲ_FIL!E14, KAIMO_FIL!E15)</f>
        <v>5284</v>
      </c>
      <c r="F15" s="93">
        <f>SUM(VIEŠOSIOS!F14, MIESTŲ_FIL!F14, KAIMO_FIL!F15)</f>
        <v>142282</v>
      </c>
      <c r="G15" s="95">
        <f>SUM(VIEŠOSIOS!G14, MIESTŲ_FIL!G14, KAIMO_FIL!G15)</f>
        <v>79122</v>
      </c>
      <c r="H15" s="93">
        <f>SUM(VIEŠOSIOS!H14, MIESTŲ_FIL!H14, KAIMO_FIL!H15)</f>
        <v>43</v>
      </c>
      <c r="I15" s="93">
        <f>SUM(VIEŠOSIOS!I14, MIESTŲ_FIL!I14, KAIMO_FIL!I15)</f>
        <v>34</v>
      </c>
      <c r="J15" s="81">
        <f>SUM(VIEŠOSIOS!J14, MIESTŲ_FIL!J14, KAIMO_FIL!J15)</f>
        <v>34</v>
      </c>
    </row>
    <row r="16" spans="1:11" x14ac:dyDescent="0.2">
      <c r="A16" s="87"/>
      <c r="B16" s="94" t="s">
        <v>89</v>
      </c>
      <c r="C16" s="93">
        <f>SUM(VIEŠOSIOS!C15, MIESTŲ_FIL!C15, KAIMO_FIL!C16)</f>
        <v>4</v>
      </c>
      <c r="D16" s="93">
        <f>SUM(VIEŠOSIOS!D15, MIESTŲ_FIL!D15, KAIMO_FIL!D16)</f>
        <v>166115</v>
      </c>
      <c r="E16" s="93">
        <f>SUM(VIEŠOSIOS!E15, MIESTŲ_FIL!E15, KAIMO_FIL!E16)</f>
        <v>5734</v>
      </c>
      <c r="F16" s="93">
        <f>SUM(VIEŠOSIOS!F15, MIESTŲ_FIL!F15, KAIMO_FIL!F16)</f>
        <v>112492</v>
      </c>
      <c r="G16" s="95">
        <f>SUM(VIEŠOSIOS!G15, MIESTŲ_FIL!G15, KAIMO_FIL!G16)</f>
        <v>81115</v>
      </c>
      <c r="H16" s="93">
        <f>SUM(VIEŠOSIOS!H15, MIESTŲ_FIL!H15, KAIMO_FIL!H16)</f>
        <v>19</v>
      </c>
      <c r="I16" s="93">
        <f>SUM(VIEŠOSIOS!I15, MIESTŲ_FIL!I15, KAIMO_FIL!I16)</f>
        <v>4</v>
      </c>
      <c r="J16" s="81">
        <f>SUM(VIEŠOSIOS!J15, MIESTŲ_FIL!J15, KAIMO_FIL!J16)</f>
        <v>4</v>
      </c>
    </row>
    <row r="17" spans="1:10" x14ac:dyDescent="0.2">
      <c r="A17" s="87"/>
      <c r="B17" s="94" t="s">
        <v>180</v>
      </c>
      <c r="C17" s="93">
        <f>SUM(VIEŠOSIOS!C16, MIESTŲ_FIL!C16, KAIMO_FIL!C17)</f>
        <v>22</v>
      </c>
      <c r="D17" s="93">
        <f>SUM(VIEŠOSIOS!D16, MIESTŲ_FIL!D16, KAIMO_FIL!D17)</f>
        <v>155891</v>
      </c>
      <c r="E17" s="93">
        <f>SUM(VIEŠOSIOS!E16, MIESTŲ_FIL!E16, KAIMO_FIL!E17)</f>
        <v>4736</v>
      </c>
      <c r="F17" s="93">
        <f>SUM(VIEŠOSIOS!F16, MIESTŲ_FIL!F16, KAIMO_FIL!F17)</f>
        <v>87473</v>
      </c>
      <c r="G17" s="95">
        <f>SUM(VIEŠOSIOS!G16, MIESTŲ_FIL!G16, KAIMO_FIL!G17)</f>
        <v>127982</v>
      </c>
      <c r="H17" s="93">
        <f>SUM(VIEŠOSIOS!H16, MIESTŲ_FIL!H16, KAIMO_FIL!H17)</f>
        <v>30</v>
      </c>
      <c r="I17" s="93">
        <f>SUM(VIEŠOSIOS!I16, MIESTŲ_FIL!I16, KAIMO_FIL!I17)</f>
        <v>22</v>
      </c>
      <c r="J17" s="81">
        <f>SUM(VIEŠOSIOS!J16, MIESTŲ_FIL!J16, KAIMO_FIL!J17)</f>
        <v>22</v>
      </c>
    </row>
    <row r="18" spans="1:10" x14ac:dyDescent="0.2">
      <c r="A18" s="87"/>
      <c r="B18" s="96" t="s">
        <v>181</v>
      </c>
      <c r="C18" s="93">
        <f>SUM(VIEŠOSIOS!C17, KAIMO_FIL!C18)</f>
        <v>20</v>
      </c>
      <c r="D18" s="93">
        <f>SUM(VIEŠOSIOS!D17, KAIMO_FIL!D18)</f>
        <v>141992</v>
      </c>
      <c r="E18" s="93">
        <f>SUM(VIEŠOSIOS!E17, KAIMO_FIL!E18)</f>
        <v>4250</v>
      </c>
      <c r="F18" s="93">
        <f>SUM(VIEŠOSIOS!F17, KAIMO_FIL!F18)</f>
        <v>113636</v>
      </c>
      <c r="G18" s="95">
        <f>SUM(VIEŠOSIOS!G17, KAIMO_FIL!G18)</f>
        <v>85780</v>
      </c>
      <c r="H18" s="93">
        <f>SUM(VIEŠOSIOS!H17, KAIMO_FIL!H18)</f>
        <v>41</v>
      </c>
      <c r="I18" s="93">
        <f>SUM(VIEŠOSIOS!I17, KAIMO_FIL!I18)</f>
        <v>20</v>
      </c>
      <c r="J18" s="84">
        <f>SUM(VIEŠOSIOS!J17, KAIMO_FIL!J18)</f>
        <v>20</v>
      </c>
    </row>
    <row r="19" spans="1:10" x14ac:dyDescent="0.2">
      <c r="A19" s="87"/>
      <c r="B19" s="99" t="s">
        <v>22</v>
      </c>
      <c r="C19" s="100">
        <f t="shared" ref="C19:J19" si="0">SUM(C14:C18)</f>
        <v>84</v>
      </c>
      <c r="D19" s="100">
        <f t="shared" si="0"/>
        <v>913820</v>
      </c>
      <c r="E19" s="100">
        <f t="shared" si="0"/>
        <v>24604</v>
      </c>
      <c r="F19" s="100">
        <f>SUM(F14:F18)</f>
        <v>598028</v>
      </c>
      <c r="G19" s="100">
        <f t="shared" si="0"/>
        <v>463496</v>
      </c>
      <c r="H19" s="100">
        <f t="shared" si="0"/>
        <v>158</v>
      </c>
      <c r="I19" s="100">
        <f t="shared" si="0"/>
        <v>84</v>
      </c>
      <c r="J19" s="101">
        <f t="shared" si="0"/>
        <v>84</v>
      </c>
    </row>
    <row r="20" spans="1:10" x14ac:dyDescent="0.2">
      <c r="A20" s="87"/>
      <c r="B20" s="102" t="s">
        <v>90</v>
      </c>
      <c r="J20" s="618"/>
    </row>
    <row r="21" spans="1:10" x14ac:dyDescent="0.2">
      <c r="A21" s="87"/>
      <c r="B21" s="103" t="s">
        <v>91</v>
      </c>
      <c r="C21" s="97">
        <f>SUM(VIEŠOSIOS!C20, MIESTŲ_FIL!C19, KAIMO_FIL!C21)</f>
        <v>4</v>
      </c>
      <c r="D21" s="97">
        <f>SUM(VIEŠOSIOS!D20, MIESTŲ_FIL!D19, KAIMO_FIL!D21)</f>
        <v>72470</v>
      </c>
      <c r="E21" s="97">
        <f>SUM(VIEŠOSIOS!E20, MIESTŲ_FIL!E19, KAIMO_FIL!E21)</f>
        <v>1786</v>
      </c>
      <c r="F21" s="97">
        <f>SUM(VIEŠOSIOS!F20, MIESTŲ_FIL!F19, KAIMO_FIL!F21)</f>
        <v>34233</v>
      </c>
      <c r="G21" s="97">
        <f>SUM(VIEŠOSIOS!G20, MIESTŲ_FIL!G19, KAIMO_FIL!G21)</f>
        <v>30766</v>
      </c>
      <c r="H21" s="97">
        <f>SUM(VIEŠOSIOS!H20, MIESTŲ_FIL!H19, KAIMO_FIL!H21)</f>
        <v>13</v>
      </c>
      <c r="I21" s="97">
        <f>SUM(VIEŠOSIOS!I20, MIESTŲ_FIL!I19, KAIMO_FIL!I21)</f>
        <v>4</v>
      </c>
      <c r="J21" s="129">
        <f>SUM(VIEŠOSIOS!J20, MIESTŲ_FIL!J19, KAIMO_FIL!J21)</f>
        <v>4</v>
      </c>
    </row>
    <row r="22" spans="1:10" x14ac:dyDescent="0.2">
      <c r="A22" s="87"/>
      <c r="B22" s="103" t="s">
        <v>182</v>
      </c>
      <c r="C22" s="97">
        <f>SUM(VIEŠOSIOS!C21, MIESTŲ_FIL!C20, KAIMO_FIL!C22)</f>
        <v>17</v>
      </c>
      <c r="D22" s="97">
        <f>SUM(VIEŠOSIOS!D21, MIESTŲ_FIL!D20, KAIMO_FIL!D22)</f>
        <v>169445</v>
      </c>
      <c r="E22" s="97">
        <f>SUM(VIEŠOSIOS!E21, MIESTŲ_FIL!E20, KAIMO_FIL!E22)</f>
        <v>9442</v>
      </c>
      <c r="F22" s="97">
        <f>SUM(VIEŠOSIOS!F21, MIESTŲ_FIL!F20, KAIMO_FIL!F22)</f>
        <v>223811</v>
      </c>
      <c r="G22" s="97">
        <f>SUM(VIEŠOSIOS!G21, MIESTŲ_FIL!G20, KAIMO_FIL!G22)</f>
        <v>127200</v>
      </c>
      <c r="H22" s="97">
        <f>SUM(VIEŠOSIOS!H21, MIESTŲ_FIL!H20, KAIMO_FIL!H22)</f>
        <v>39</v>
      </c>
      <c r="I22" s="97">
        <f>SUM(VIEŠOSIOS!I21, MIESTŲ_FIL!I20, KAIMO_FIL!I22)</f>
        <v>17</v>
      </c>
      <c r="J22" s="129">
        <f>SUM(VIEŠOSIOS!J21, MIESTŲ_FIL!J20, KAIMO_FIL!J22)</f>
        <v>17</v>
      </c>
    </row>
    <row r="23" spans="1:10" x14ac:dyDescent="0.2">
      <c r="A23" s="87"/>
      <c r="B23" s="103" t="s">
        <v>183</v>
      </c>
      <c r="C23" s="97">
        <f>SUM(VIEŠOSIOS!C22, MIESTŲ_FIL!C21, KAIMO_FIL!C23)</f>
        <v>24</v>
      </c>
      <c r="D23" s="97">
        <f>SUM(VIEŠOSIOS!D22, MIESTŲ_FIL!D21, KAIMO_FIL!D23)</f>
        <v>165419</v>
      </c>
      <c r="E23" s="97">
        <f>SUM(VIEŠOSIOS!E22, MIESTŲ_FIL!E21, KAIMO_FIL!E23)</f>
        <v>5367</v>
      </c>
      <c r="F23" s="97">
        <f>SUM(VIEŠOSIOS!F22, MIESTŲ_FIL!F21, KAIMO_FIL!F23)</f>
        <v>80898</v>
      </c>
      <c r="G23" s="97">
        <f>SUM(VIEŠOSIOS!G22, MIESTŲ_FIL!G21, KAIMO_FIL!G23)</f>
        <v>69371</v>
      </c>
      <c r="H23" s="97">
        <f>SUM(VIEŠOSIOS!H22, MIESTŲ_FIL!H21, KAIMO_FIL!H23)</f>
        <v>38</v>
      </c>
      <c r="I23" s="97">
        <f>SUM(VIEŠOSIOS!I22, MIESTŲ_FIL!I21, KAIMO_FIL!I23)</f>
        <v>24</v>
      </c>
      <c r="J23" s="129">
        <f>SUM(VIEŠOSIOS!J22, MIESTŲ_FIL!J21, KAIMO_FIL!J23)</f>
        <v>24</v>
      </c>
    </row>
    <row r="24" spans="1:10" x14ac:dyDescent="0.2">
      <c r="A24" s="87"/>
      <c r="B24" s="103" t="s">
        <v>92</v>
      </c>
      <c r="C24" s="97">
        <f>SUM(VIEŠOSIOS!C23, MIESTŲ_FIL!C22, KAIMO_FIL!C24)</f>
        <v>19</v>
      </c>
      <c r="D24" s="97">
        <f>SUM(VIEŠOSIOS!D23, MIESTŲ_FIL!D22, KAIMO_FIL!D24)</f>
        <v>304908</v>
      </c>
      <c r="E24" s="97">
        <f>SUM(VIEŠOSIOS!E23, MIESTŲ_FIL!E22, KAIMO_FIL!E24)</f>
        <v>26286</v>
      </c>
      <c r="F24" s="97">
        <f>SUM(VIEŠOSIOS!F23, MIESTŲ_FIL!F22, KAIMO_FIL!F24)</f>
        <v>694357</v>
      </c>
      <c r="G24" s="97">
        <f>SUM(VIEŠOSIOS!G23, MIESTŲ_FIL!G22, KAIMO_FIL!G24)</f>
        <v>503467</v>
      </c>
      <c r="H24" s="97">
        <f>SUM(VIEŠOSIOS!H23, MIESTŲ_FIL!H22, KAIMO_FIL!H24)</f>
        <v>79</v>
      </c>
      <c r="I24" s="97">
        <f>SUM(VIEŠOSIOS!I23, MIESTŲ_FIL!I22, KAIMO_FIL!I24)</f>
        <v>19</v>
      </c>
      <c r="J24" s="129">
        <f>SUM(VIEŠOSIOS!J23, MIESTŲ_FIL!J22, KAIMO_FIL!J24)</f>
        <v>19</v>
      </c>
    </row>
    <row r="25" spans="1:10" x14ac:dyDescent="0.2">
      <c r="A25" s="87"/>
      <c r="B25" s="103" t="s">
        <v>184</v>
      </c>
      <c r="C25" s="97">
        <f>SUM(VIEŠOSIOS!C24, MIESTŲ_FIL!C23, KAIMO_FIL!C25)</f>
        <v>31</v>
      </c>
      <c r="D25" s="97">
        <f>SUM(VIEŠOSIOS!D24, MIESTŲ_FIL!D23, KAIMO_FIL!D25)</f>
        <v>263787</v>
      </c>
      <c r="E25" s="97">
        <f>SUM(VIEŠOSIOS!E24, MIESTŲ_FIL!E23, KAIMO_FIL!E25)</f>
        <v>12742</v>
      </c>
      <c r="F25" s="97">
        <f>SUM(VIEŠOSIOS!F24, MIESTŲ_FIL!F23, KAIMO_FIL!F25)</f>
        <v>245772</v>
      </c>
      <c r="G25" s="97">
        <f>SUM(VIEŠOSIOS!G24, MIESTŲ_FIL!G23, KAIMO_FIL!G25)</f>
        <v>212909</v>
      </c>
      <c r="H25" s="97">
        <f>SUM(VIEŠOSIOS!H24, MIESTŲ_FIL!H23, KAIMO_FIL!H25)</f>
        <v>52</v>
      </c>
      <c r="I25" s="97">
        <f>SUM(VIEŠOSIOS!I24, MIESTŲ_FIL!I23, KAIMO_FIL!I25)</f>
        <v>31</v>
      </c>
      <c r="J25" s="129">
        <f>SUM(VIEŠOSIOS!J24, MIESTŲ_FIL!J23, KAIMO_FIL!J25)</f>
        <v>31</v>
      </c>
    </row>
    <row r="26" spans="1:10" x14ac:dyDescent="0.2">
      <c r="A26" s="87"/>
      <c r="B26" s="103" t="s">
        <v>185</v>
      </c>
      <c r="C26" s="97">
        <f>SUM(VIEŠOSIOS!C25, MIESTŲ_FIL!C24, KAIMO_FIL!C26)</f>
        <v>40</v>
      </c>
      <c r="D26" s="97">
        <f>SUM(VIEŠOSIOS!D25, MIESTŲ_FIL!D24, KAIMO_FIL!D26)</f>
        <v>324187</v>
      </c>
      <c r="E26" s="97">
        <f>SUM(VIEŠOSIOS!E25, MIESTŲ_FIL!E24, KAIMO_FIL!E26)</f>
        <v>11353</v>
      </c>
      <c r="F26" s="97">
        <f>SUM(VIEŠOSIOS!F25, MIESTŲ_FIL!F24, KAIMO_FIL!F26)</f>
        <v>368562</v>
      </c>
      <c r="G26" s="97">
        <f>SUM(VIEŠOSIOS!G25, MIESTŲ_FIL!G24, KAIMO_FIL!G26)</f>
        <v>187164</v>
      </c>
      <c r="H26" s="97">
        <f>SUM(VIEŠOSIOS!H25, MIESTŲ_FIL!H24, KAIMO_FIL!H26)</f>
        <v>62</v>
      </c>
      <c r="I26" s="97">
        <f>SUM(VIEŠOSIOS!I25, MIESTŲ_FIL!I24, KAIMO_FIL!I26)</f>
        <v>40</v>
      </c>
      <c r="J26" s="129">
        <f>SUM(VIEŠOSIOS!J25, MIESTŲ_FIL!J24, KAIMO_FIL!J26)</f>
        <v>40</v>
      </c>
    </row>
    <row r="27" spans="1:10" x14ac:dyDescent="0.2">
      <c r="A27" s="87"/>
      <c r="B27" s="103" t="s">
        <v>186</v>
      </c>
      <c r="C27" s="97">
        <f>SUM(VIEŠOSIOS!C26, MIESTŲ_FIL!C25, KAIMO_FIL!C27)</f>
        <v>19</v>
      </c>
      <c r="D27" s="97">
        <f>SUM(VIEŠOSIOS!D26, MIESTŲ_FIL!D25, KAIMO_FIL!D27)</f>
        <v>150060</v>
      </c>
      <c r="E27" s="97">
        <f>SUM(VIEŠOSIOS!E26, MIESTŲ_FIL!E25, KAIMO_FIL!E27)</f>
        <v>7670</v>
      </c>
      <c r="F27" s="97">
        <f>SUM(VIEŠOSIOS!F26, MIESTŲ_FIL!F25, KAIMO_FIL!F27)</f>
        <v>101107</v>
      </c>
      <c r="G27" s="97">
        <f>SUM(VIEŠOSIOS!G26, MIESTŲ_FIL!G25, KAIMO_FIL!G27)</f>
        <v>58315</v>
      </c>
      <c r="H27" s="97">
        <f>SUM(VIEŠOSIOS!H26, MIESTŲ_FIL!H25, KAIMO_FIL!H27)</f>
        <v>40</v>
      </c>
      <c r="I27" s="97">
        <f>SUM(VIEŠOSIOS!I26, MIESTŲ_FIL!I25, KAIMO_FIL!I27)</f>
        <v>19</v>
      </c>
      <c r="J27" s="129">
        <f>SUM(VIEŠOSIOS!J26, MIESTŲ_FIL!J25, KAIMO_FIL!J27)</f>
        <v>19</v>
      </c>
    </row>
    <row r="28" spans="1:10" x14ac:dyDescent="0.2">
      <c r="A28" s="87"/>
      <c r="B28" s="104" t="s">
        <v>187</v>
      </c>
      <c r="C28" s="97">
        <f>SUM(VIEŠOSIOS!C27, MIESTŲ_FIL!C26, KAIMO_FIL!C28)</f>
        <v>24</v>
      </c>
      <c r="D28" s="97">
        <f>SUM(VIEŠOSIOS!D27, MIESTŲ_FIL!D26, KAIMO_FIL!D28)</f>
        <v>190156</v>
      </c>
      <c r="E28" s="97">
        <f>SUM(VIEŠOSIOS!E27, MIESTŲ_FIL!E26, KAIMO_FIL!E28)</f>
        <v>6494</v>
      </c>
      <c r="F28" s="97">
        <f>SUM(VIEŠOSIOS!F27, MIESTŲ_FIL!F26, KAIMO_FIL!F28)</f>
        <v>165083</v>
      </c>
      <c r="G28" s="97">
        <f>SUM(VIEŠOSIOS!G27, MIESTŲ_FIL!G26, KAIMO_FIL!G28)</f>
        <v>100667</v>
      </c>
      <c r="H28" s="97">
        <f>SUM(VIEŠOSIOS!H27, MIESTŲ_FIL!H26, KAIMO_FIL!H28)</f>
        <v>40</v>
      </c>
      <c r="I28" s="97">
        <f>SUM(VIEŠOSIOS!I27, MIESTŲ_FIL!I26, KAIMO_FIL!I28)</f>
        <v>24</v>
      </c>
      <c r="J28" s="619">
        <f>SUM(VIEŠOSIOS!J27, MIESTŲ_FIL!J26, KAIMO_FIL!J28)</f>
        <v>24</v>
      </c>
    </row>
    <row r="29" spans="1:10" x14ac:dyDescent="0.2">
      <c r="A29" s="82"/>
      <c r="B29" s="99" t="s">
        <v>22</v>
      </c>
      <c r="C29" s="100">
        <f t="shared" ref="C29:J29" si="1">SUM(C21:C28)</f>
        <v>178</v>
      </c>
      <c r="D29" s="100">
        <f>SUM(D21:D28)</f>
        <v>1640432</v>
      </c>
      <c r="E29" s="100">
        <f t="shared" si="1"/>
        <v>81140</v>
      </c>
      <c r="F29" s="100">
        <f t="shared" si="1"/>
        <v>1913823</v>
      </c>
      <c r="G29" s="100">
        <f>SUM(G21:G28)</f>
        <v>1289859</v>
      </c>
      <c r="H29" s="100">
        <f t="shared" si="1"/>
        <v>363</v>
      </c>
      <c r="I29" s="100">
        <f t="shared" si="1"/>
        <v>178</v>
      </c>
      <c r="J29" s="101">
        <f t="shared" si="1"/>
        <v>178</v>
      </c>
    </row>
    <row r="30" spans="1:10" x14ac:dyDescent="0.2">
      <c r="B30" s="105" t="s">
        <v>93</v>
      </c>
      <c r="J30" s="618"/>
    </row>
    <row r="31" spans="1:10" x14ac:dyDescent="0.2">
      <c r="B31" s="104" t="s">
        <v>94</v>
      </c>
      <c r="C31" s="93">
        <f>SUM(VIEŠOSIOS!C30, MIESTŲ_FIL!C29, KAIMO_FIL!C31, VAIKŲ_FIL!C15)</f>
        <v>12</v>
      </c>
      <c r="D31" s="93">
        <f>SUM(VIEŠOSIOS!D30, MIESTŲ_FIL!D29, KAIMO_FIL!D31, VAIKŲ_FIL!D15)</f>
        <v>304388</v>
      </c>
      <c r="E31" s="93">
        <f>SUM(VIEŠOSIOS!E30, MIESTŲ_FIL!E29, KAIMO_FIL!E31, VAIKŲ_FIL!E15)</f>
        <v>14928</v>
      </c>
      <c r="F31" s="93">
        <f>SUM(VIEŠOSIOS!F30, MIESTŲ_FIL!F29, KAIMO_FIL!F31, VAIKŲ_FIL!F15)</f>
        <v>540988</v>
      </c>
      <c r="G31" s="95">
        <f>SUM(VIEŠOSIOS!G30, MIESTŲ_FIL!G29, KAIMO_FIL!G31, VAIKŲ_FIL!G15)</f>
        <v>325399</v>
      </c>
      <c r="H31" s="93">
        <f>SUM(VIEŠOSIOS!H30, MIESTŲ_FIL!H29, KAIMO_FIL!H31, VAIKŲ_FIL!H15)</f>
        <v>58</v>
      </c>
      <c r="I31" s="93">
        <f>SUM(VIEŠOSIOS!I30, MIESTŲ_FIL!I29, KAIMO_FIL!I31, VAIKŲ_FIL!I15)</f>
        <v>12</v>
      </c>
      <c r="J31" s="81">
        <f>SUM(VIEŠOSIOS!J30, MIESTŲ_FIL!J29, KAIMO_FIL!J31, VAIKŲ_FIL!J15)</f>
        <v>12</v>
      </c>
    </row>
    <row r="32" spans="1:10" x14ac:dyDescent="0.2">
      <c r="B32" s="104" t="s">
        <v>188</v>
      </c>
      <c r="C32" s="93">
        <f>SUM(VIEŠOSIOS!C31, MIESTŲ_FIL!C30, KAIMO_FIL!C32)</f>
        <v>24</v>
      </c>
      <c r="D32" s="93">
        <f>SUM(VIEŠOSIOS!D31, MIESTŲ_FIL!D30, KAIMO_FIL!D32)</f>
        <v>227443</v>
      </c>
      <c r="E32" s="93">
        <f>SUM(VIEŠOSIOS!E31, MIESTŲ_FIL!E30, KAIMO_FIL!E32)</f>
        <v>10394</v>
      </c>
      <c r="F32" s="93">
        <f>SUM(VIEŠOSIOS!F31, MIESTŲ_FIL!F30, KAIMO_FIL!F32)</f>
        <v>211377</v>
      </c>
      <c r="G32" s="95">
        <f>SUM(VIEŠOSIOS!G31, MIESTŲ_FIL!G30, KAIMO_FIL!G32)</f>
        <v>160905</v>
      </c>
      <c r="H32" s="93">
        <f>SUM(VIEŠOSIOS!H31, MIESTŲ_FIL!H30, KAIMO_FIL!H32)</f>
        <v>47</v>
      </c>
      <c r="I32" s="93">
        <f>SUM(VIEŠOSIOS!I31, MIESTŲ_FIL!I30, KAIMO_FIL!I32)</f>
        <v>24</v>
      </c>
      <c r="J32" s="81">
        <f>SUM(VIEŠOSIOS!J31, MIESTŲ_FIL!J30, KAIMO_FIL!J32)</f>
        <v>24</v>
      </c>
    </row>
    <row r="33" spans="2:10" x14ac:dyDescent="0.2">
      <c r="B33" s="104" t="s">
        <v>189</v>
      </c>
      <c r="C33" s="93">
        <f>SUM(VIEŠOSIOS!C32, MIESTŲ_FIL!C31, KAIMO_FIL!C33)</f>
        <v>20</v>
      </c>
      <c r="D33" s="93">
        <f>SUM(VIEŠOSIOS!D32, MIESTŲ_FIL!D31, KAIMO_FIL!D33)</f>
        <v>208202</v>
      </c>
      <c r="E33" s="93">
        <f>SUM(VIEŠOSIOS!E32, MIESTŲ_FIL!E31, KAIMO_FIL!E33)</f>
        <v>5647</v>
      </c>
      <c r="F33" s="93">
        <f>SUM(VIEŠOSIOS!F32, MIESTŲ_FIL!F31, KAIMO_FIL!F33)</f>
        <v>143169</v>
      </c>
      <c r="G33" s="95">
        <f>SUM(VIEŠOSIOS!G32, MIESTŲ_FIL!G31, KAIMO_FIL!G33)</f>
        <v>185719</v>
      </c>
      <c r="H33" s="93">
        <f>SUM(VIEŠOSIOS!H32, MIESTŲ_FIL!H31, KAIMO_FIL!H33)</f>
        <v>42</v>
      </c>
      <c r="I33" s="93">
        <f>SUM(VIEŠOSIOS!I32, MIESTŲ_FIL!I31, KAIMO_FIL!I33)</f>
        <v>20</v>
      </c>
      <c r="J33" s="81">
        <f>SUM(VIEŠOSIOS!J32, MIESTŲ_FIL!J31, KAIMO_FIL!J33)</f>
        <v>20</v>
      </c>
    </row>
    <row r="34" spans="2:10" x14ac:dyDescent="0.2">
      <c r="B34" s="104" t="s">
        <v>95</v>
      </c>
      <c r="C34" s="93">
        <f>SUM(VIEŠOSIOS!C33, MIESTŲ_FIL!C32, KAIMO_FIL!C34)</f>
        <v>3</v>
      </c>
      <c r="D34" s="93">
        <f>SUM(VIEŠOSIOS!D33, MIESTŲ_FIL!D32, KAIMO_FIL!D34)</f>
        <v>89961</v>
      </c>
      <c r="E34" s="93">
        <f>SUM(VIEŠOSIOS!E33, MIESTŲ_FIL!E32, KAIMO_FIL!E34)</f>
        <v>1407</v>
      </c>
      <c r="F34" s="93">
        <f>SUM(VIEŠOSIOS!F33, MIESTŲ_FIL!F32, KAIMO_FIL!F34)</f>
        <v>19748</v>
      </c>
      <c r="G34" s="95">
        <f>SUM(VIEŠOSIOS!G33, MIESTŲ_FIL!G32, KAIMO_FIL!G34)</f>
        <v>16085</v>
      </c>
      <c r="H34" s="93">
        <f>SUM(VIEŠOSIOS!H33, MIESTŲ_FIL!H32, KAIMO_FIL!H34)</f>
        <v>9</v>
      </c>
      <c r="I34" s="93">
        <f>SUM(VIEŠOSIOS!I33, MIESTŲ_FIL!I32, KAIMO_FIL!I34)</f>
        <v>3</v>
      </c>
      <c r="J34" s="81">
        <f>SUM(VIEŠOSIOS!J33, MIESTŲ_FIL!J32, KAIMO_FIL!J34)</f>
        <v>3</v>
      </c>
    </row>
    <row r="35" spans="2:10" x14ac:dyDescent="0.2">
      <c r="B35" s="104" t="s">
        <v>96</v>
      </c>
      <c r="C35" s="93">
        <f>SUM(VIEŠOSIOS!C34, KAIMO_FIL!C35)</f>
        <v>1</v>
      </c>
      <c r="D35" s="93">
        <f>SUM(VIEŠOSIOS!D34, KAIMO_FIL!D35)</f>
        <v>74051</v>
      </c>
      <c r="E35" s="93">
        <f>SUM(VIEŠOSIOS!E34, KAIMO_FIL!E35)</f>
        <v>4968</v>
      </c>
      <c r="F35" s="93">
        <f>SUM(VIEŠOSIOS!F34, KAIMO_FIL!F35)</f>
        <v>124450</v>
      </c>
      <c r="G35" s="95">
        <f>SUM(VIEŠOSIOS!G34, KAIMO_FIL!G35)</f>
        <v>70282</v>
      </c>
      <c r="H35" s="93">
        <f>SUM(VIEŠOSIOS!H34, KAIMO_FIL!H35)</f>
        <v>22</v>
      </c>
      <c r="I35" s="93">
        <f>SUM(VIEŠOSIOS!I34, KAIMO_FIL!I35)</f>
        <v>1</v>
      </c>
      <c r="J35" s="81">
        <f>SUM(VIEŠOSIOS!J34, KAIMO_FIL!J35)</f>
        <v>1</v>
      </c>
    </row>
    <row r="36" spans="2:10" x14ac:dyDescent="0.2">
      <c r="B36" s="104" t="s">
        <v>190</v>
      </c>
      <c r="C36" s="93">
        <f>SUM(VIEŠOSIOS!C35, MIESTŲ_FIL!C33, KAIMO_FIL!C36)</f>
        <v>15</v>
      </c>
      <c r="D36" s="93">
        <f>SUM(VIEŠOSIOS!D35, MIESTŲ_FIL!D33, KAIMO_FIL!D36)</f>
        <v>148686</v>
      </c>
      <c r="E36" s="93">
        <f>SUM(VIEŠOSIOS!E35, MIESTŲ_FIL!E33, KAIMO_FIL!E36)</f>
        <v>2197</v>
      </c>
      <c r="F36" s="93">
        <f>SUM(VIEŠOSIOS!F35, MIESTŲ_FIL!F33, KAIMO_FIL!F36)</f>
        <v>105581</v>
      </c>
      <c r="G36" s="95">
        <f>SUM(VIEŠOSIOS!G35, MIESTŲ_FIL!G33, KAIMO_FIL!G36)</f>
        <v>54478</v>
      </c>
      <c r="H36" s="93">
        <f>SUM(VIEŠOSIOS!H35, MIESTŲ_FIL!H33, KAIMO_FIL!H36)</f>
        <v>32</v>
      </c>
      <c r="I36" s="93">
        <f>SUM(VIEŠOSIOS!I35, MIESTŲ_FIL!I33, KAIMO_FIL!I36)</f>
        <v>15</v>
      </c>
      <c r="J36" s="81">
        <f>SUM(VIEŠOSIOS!J35, MIESTŲ_FIL!J33, KAIMO_FIL!J36)</f>
        <v>15</v>
      </c>
    </row>
    <row r="37" spans="2:10" x14ac:dyDescent="0.2">
      <c r="B37" s="104" t="s">
        <v>191</v>
      </c>
      <c r="C37" s="93">
        <f>SUM(VIEŠOSIOS!C36, KAIMO_FIL!C37)</f>
        <v>22</v>
      </c>
      <c r="D37" s="93">
        <f>SUM(VIEŠOSIOS!D36, KAIMO_FIL!D37)</f>
        <v>239468</v>
      </c>
      <c r="E37" s="93">
        <f>SUM(VIEŠOSIOS!E36, KAIMO_FIL!E37)</f>
        <v>5902</v>
      </c>
      <c r="F37" s="93">
        <f>SUM(VIEŠOSIOS!F36, KAIMO_FIL!F37)</f>
        <v>154130</v>
      </c>
      <c r="G37" s="95">
        <f>SUM(VIEŠOSIOS!G36, KAIMO_FIL!G37)</f>
        <v>147341</v>
      </c>
      <c r="H37" s="93">
        <f>SUM(VIEŠOSIOS!H36, KAIMO_FIL!H37)</f>
        <v>55</v>
      </c>
      <c r="I37" s="93">
        <f>SUM(VIEŠOSIOS!I36, KAIMO_FIL!I37)</f>
        <v>22</v>
      </c>
      <c r="J37" s="84">
        <f>SUM(VIEŠOSIOS!J36, KAIMO_FIL!J37)</f>
        <v>22</v>
      </c>
    </row>
    <row r="38" spans="2:10" x14ac:dyDescent="0.2">
      <c r="B38" s="99" t="s">
        <v>22</v>
      </c>
      <c r="C38" s="101">
        <f t="shared" ref="C38:J38" si="2">SUM(C31:C37)</f>
        <v>97</v>
      </c>
      <c r="D38" s="100">
        <f t="shared" si="2"/>
        <v>1292199</v>
      </c>
      <c r="E38" s="100">
        <f t="shared" si="2"/>
        <v>45443</v>
      </c>
      <c r="F38" s="100">
        <f t="shared" si="2"/>
        <v>1299443</v>
      </c>
      <c r="G38" s="100">
        <f t="shared" si="2"/>
        <v>960209</v>
      </c>
      <c r="H38" s="100">
        <f t="shared" si="2"/>
        <v>265</v>
      </c>
      <c r="I38" s="100">
        <f t="shared" si="2"/>
        <v>97</v>
      </c>
      <c r="J38" s="101">
        <f t="shared" si="2"/>
        <v>97</v>
      </c>
    </row>
    <row r="39" spans="2:10" x14ac:dyDescent="0.2">
      <c r="B39" s="105" t="s">
        <v>97</v>
      </c>
      <c r="C39" s="82"/>
      <c r="D39" s="82"/>
      <c r="E39" s="82"/>
      <c r="J39" s="618"/>
    </row>
    <row r="40" spans="2:10" x14ac:dyDescent="0.2">
      <c r="B40" s="104" t="s">
        <v>98</v>
      </c>
      <c r="C40" s="97">
        <f>SUM(VIEŠOSIOS!C39, KAIMO_FIL!C40)</f>
        <v>11</v>
      </c>
      <c r="D40" s="97">
        <f>SUM(VIEŠOSIOS!D39, KAIMO_FIL!D40)</f>
        <v>79340</v>
      </c>
      <c r="E40" s="97">
        <f>SUM(VIEŠOSIOS!E39, KAIMO_FIL!E40)</f>
        <v>3613</v>
      </c>
      <c r="F40" s="97">
        <f>SUM(VIEŠOSIOS!F39, KAIMO_FIL!F40)</f>
        <v>92140</v>
      </c>
      <c r="G40" s="97">
        <f>SUM(VIEŠOSIOS!G39, KAIMO_FIL!G40)</f>
        <v>73253</v>
      </c>
      <c r="H40" s="97">
        <f>SUM(VIEŠOSIOS!H39, KAIMO_FIL!H40)</f>
        <v>19</v>
      </c>
      <c r="I40" s="97">
        <f>SUM(VIEŠOSIOS!I39, KAIMO_FIL!I40)</f>
        <v>11</v>
      </c>
      <c r="J40" s="129">
        <f>SUM(VIEŠOSIOS!J39, KAIMO_FIL!J40)</f>
        <v>11</v>
      </c>
    </row>
    <row r="41" spans="2:10" x14ac:dyDescent="0.2">
      <c r="B41" s="104" t="s">
        <v>99</v>
      </c>
      <c r="C41" s="97">
        <f>SUM(VIEŠOSIOS!C40, KAIMO_FIL!C41)</f>
        <v>11</v>
      </c>
      <c r="D41" s="97">
        <f>SUM(VIEŠOSIOS!D40, KAIMO_FIL!D41)</f>
        <v>76467</v>
      </c>
      <c r="E41" s="97">
        <f>SUM(VIEŠOSIOS!E40, KAIMO_FIL!E41)</f>
        <v>2535</v>
      </c>
      <c r="F41" s="97">
        <f>SUM(VIEŠOSIOS!F40, KAIMO_FIL!F41)</f>
        <v>47872</v>
      </c>
      <c r="G41" s="97">
        <f>SUM(VIEŠOSIOS!G40, KAIMO_FIL!G41)</f>
        <v>34600</v>
      </c>
      <c r="H41" s="97">
        <f>SUM(VIEŠOSIOS!H40, KAIMO_FIL!H41)</f>
        <v>18</v>
      </c>
      <c r="I41" s="97">
        <f>SUM(VIEŠOSIOS!I40, KAIMO_FIL!I41)</f>
        <v>11</v>
      </c>
      <c r="J41" s="129">
        <f>SUM(VIEŠOSIOS!J40, KAIMO_FIL!J41)</f>
        <v>11</v>
      </c>
    </row>
    <row r="42" spans="2:10" x14ac:dyDescent="0.2">
      <c r="B42" s="104" t="s">
        <v>100</v>
      </c>
      <c r="C42" s="97">
        <f>SUM(VIEŠOSIOS!C41, MIESTŲ_FIL!C36, KAIMO_FIL!C42)</f>
        <v>23</v>
      </c>
      <c r="D42" s="97">
        <f>SUM(VIEŠOSIOS!D41, MIESTŲ_FIL!D36, KAIMO_FIL!D42)</f>
        <v>178322</v>
      </c>
      <c r="E42" s="97">
        <f>SUM(VIEŠOSIOS!E41, MIESTŲ_FIL!E36, KAIMO_FIL!E42)</f>
        <v>8568</v>
      </c>
      <c r="F42" s="97">
        <f>SUM(VIEŠOSIOS!F41, MIESTŲ_FIL!F36, KAIMO_FIL!F42)</f>
        <v>192928</v>
      </c>
      <c r="G42" s="97">
        <f>SUM(VIEŠOSIOS!G41, MIESTŲ_FIL!G36, KAIMO_FIL!G42)</f>
        <v>164976</v>
      </c>
      <c r="H42" s="97">
        <f>SUM(VIEŠOSIOS!H41, MIESTŲ_FIL!H36, KAIMO_FIL!H42)</f>
        <v>45</v>
      </c>
      <c r="I42" s="97">
        <f>SUM(VIEŠOSIOS!I41, MIESTŲ_FIL!I36, KAIMO_FIL!I42)</f>
        <v>23</v>
      </c>
      <c r="J42" s="129">
        <f>SUM(VIEŠOSIOS!J41, MIESTŲ_FIL!J36, KAIMO_FIL!J42)</f>
        <v>23</v>
      </c>
    </row>
    <row r="43" spans="2:10" x14ac:dyDescent="0.2">
      <c r="B43" s="104" t="s">
        <v>192</v>
      </c>
      <c r="C43" s="97">
        <f>SUM(VIEŠOSIOS!C42, MIESTŲ_FIL!C37, KAIMO_FIL!C43)</f>
        <v>18</v>
      </c>
      <c r="D43" s="97">
        <f>SUM(VIEŠOSIOS!D42, MIESTŲ_FIL!D37, KAIMO_FIL!D43)</f>
        <v>163590</v>
      </c>
      <c r="E43" s="97">
        <f>SUM(VIEŠOSIOS!E42, MIESTŲ_FIL!E37, KAIMO_FIL!E43)</f>
        <v>7860</v>
      </c>
      <c r="F43" s="97">
        <f>SUM(VIEŠOSIOS!F42, MIESTŲ_FIL!F37, KAIMO_FIL!F43)</f>
        <v>100752</v>
      </c>
      <c r="G43" s="97">
        <f>SUM(VIEŠOSIOS!G42, MIESTŲ_FIL!G37, KAIMO_FIL!G43)</f>
        <v>89046</v>
      </c>
      <c r="H43" s="97">
        <f>SUM(VIEŠOSIOS!H42, MIESTŲ_FIL!H37, KAIMO_FIL!H43)</f>
        <v>31</v>
      </c>
      <c r="I43" s="97">
        <f>SUM(VIEŠOSIOS!I42, MIESTŲ_FIL!I37, KAIMO_FIL!I43)</f>
        <v>18</v>
      </c>
      <c r="J43" s="129">
        <f>SUM(VIEŠOSIOS!J42, MIESTŲ_FIL!J37, KAIMO_FIL!J43)</f>
        <v>18</v>
      </c>
    </row>
    <row r="44" spans="2:10" x14ac:dyDescent="0.2">
      <c r="B44" s="104" t="s">
        <v>193</v>
      </c>
      <c r="C44" s="97">
        <f>SUM(VIEŠOSIOS!C43, MIESTŲ_FIL!C38, KAIMO_FIL!C44)</f>
        <v>26</v>
      </c>
      <c r="D44" s="97">
        <f>SUM(VIEŠOSIOS!D43, MIESTŲ_FIL!D38, KAIMO_FIL!D44)</f>
        <v>233580</v>
      </c>
      <c r="E44" s="97">
        <f>SUM(VIEŠOSIOS!E43, MIESTŲ_FIL!E38, KAIMO_FIL!E44)</f>
        <v>7298</v>
      </c>
      <c r="F44" s="97">
        <f>SUM(VIEŠOSIOS!F43, MIESTŲ_FIL!F38, KAIMO_FIL!F44)</f>
        <v>132975</v>
      </c>
      <c r="G44" s="97">
        <f>SUM(VIEŠOSIOS!G43, MIESTŲ_FIL!G38, KAIMO_FIL!G44)</f>
        <v>97290</v>
      </c>
      <c r="H44" s="97">
        <f>SUM(VIEŠOSIOS!H43, MIESTŲ_FIL!H38, KAIMO_FIL!H44)</f>
        <v>48</v>
      </c>
      <c r="I44" s="97">
        <f>SUM(VIEŠOSIOS!I43, MIESTŲ_FIL!I38, KAIMO_FIL!I44)</f>
        <v>26</v>
      </c>
      <c r="J44" s="619">
        <f>SUM(VIEŠOSIOS!J43, MIESTŲ_FIL!J38, KAIMO_FIL!J44)</f>
        <v>26</v>
      </c>
    </row>
    <row r="45" spans="2:10" x14ac:dyDescent="0.2">
      <c r="B45" s="99" t="s">
        <v>22</v>
      </c>
      <c r="C45" s="101">
        <f t="shared" ref="C45:J45" si="3">SUM(C40:C44)</f>
        <v>89</v>
      </c>
      <c r="D45" s="101">
        <f t="shared" si="3"/>
        <v>731299</v>
      </c>
      <c r="E45" s="101">
        <f t="shared" si="3"/>
        <v>29874</v>
      </c>
      <c r="F45" s="101">
        <f t="shared" si="3"/>
        <v>566667</v>
      </c>
      <c r="G45" s="101">
        <f t="shared" si="3"/>
        <v>459165</v>
      </c>
      <c r="H45" s="101">
        <f t="shared" si="3"/>
        <v>161</v>
      </c>
      <c r="I45" s="101">
        <f t="shared" si="3"/>
        <v>89</v>
      </c>
      <c r="J45" s="101">
        <f t="shared" si="3"/>
        <v>89</v>
      </c>
    </row>
    <row r="46" spans="2:10" x14ac:dyDescent="0.2">
      <c r="B46" s="105" t="s">
        <v>101</v>
      </c>
      <c r="J46" s="80"/>
    </row>
    <row r="47" spans="2:10" x14ac:dyDescent="0.2">
      <c r="B47" s="104" t="s">
        <v>194</v>
      </c>
      <c r="C47" s="97">
        <f>SUM(VIEŠOSIOS!C46, MIESTŲ_FIL!C41, KAIMO_FIL!C47)</f>
        <v>21</v>
      </c>
      <c r="D47" s="97">
        <f>SUM(VIEŠOSIOS!D46, MIESTŲ_FIL!D41, KAIMO_FIL!D47)</f>
        <v>166300</v>
      </c>
      <c r="E47" s="97">
        <f>SUM(VIEŠOSIOS!E46, MIESTŲ_FIL!E41, KAIMO_FIL!E47)</f>
        <v>3263</v>
      </c>
      <c r="F47" s="97">
        <f>SUM(VIEŠOSIOS!F46, MIESTŲ_FIL!F41, KAIMO_FIL!F47)</f>
        <v>79399</v>
      </c>
      <c r="G47" s="97">
        <f>SUM(VIEŠOSIOS!G46, MIESTŲ_FIL!G41, KAIMO_FIL!G47)</f>
        <v>74080</v>
      </c>
      <c r="H47" s="97">
        <f>SUM(VIEŠOSIOS!H46, MIESTŲ_FIL!H41, KAIMO_FIL!H47)</f>
        <v>42</v>
      </c>
      <c r="I47" s="97">
        <f>SUM(VIEŠOSIOS!I46, MIESTŲ_FIL!I41, KAIMO_FIL!I47)</f>
        <v>21</v>
      </c>
      <c r="J47" s="129">
        <f>SUM(VIEŠOSIOS!J46, MIESTŲ_FIL!J41, KAIMO_FIL!J47)</f>
        <v>21</v>
      </c>
    </row>
    <row r="48" spans="2:10" x14ac:dyDescent="0.2">
      <c r="B48" s="104" t="s">
        <v>195</v>
      </c>
      <c r="C48" s="97">
        <f>SUM(VIEŠOSIOS!C47, MIESTŲ_FIL!C42, KAIMO_FIL!C48)</f>
        <v>17</v>
      </c>
      <c r="D48" s="97">
        <f>SUM(VIEŠOSIOS!D47, MIESTŲ_FIL!D42, KAIMO_FIL!D48)</f>
        <v>185550</v>
      </c>
      <c r="E48" s="97">
        <f>SUM(VIEŠOSIOS!E47, MIESTŲ_FIL!E42, KAIMO_FIL!E48)</f>
        <v>3870</v>
      </c>
      <c r="F48" s="97">
        <f>SUM(VIEŠOSIOS!F47, MIESTŲ_FIL!F42, KAIMO_FIL!F48)</f>
        <v>115710</v>
      </c>
      <c r="G48" s="97">
        <f>SUM(VIEŠOSIOS!G47, MIESTŲ_FIL!G42, KAIMO_FIL!G48)</f>
        <v>55413</v>
      </c>
      <c r="H48" s="97">
        <f>SUM(VIEŠOSIOS!H47, MIESTŲ_FIL!H42, KAIMO_FIL!H48)</f>
        <v>37</v>
      </c>
      <c r="I48" s="97">
        <f>SUM(VIEŠOSIOS!I47, MIESTŲ_FIL!I42, KAIMO_FIL!I48)</f>
        <v>17</v>
      </c>
      <c r="J48" s="129">
        <f>SUM(VIEŠOSIOS!J47, MIESTŲ_FIL!J42, KAIMO_FIL!J48)</f>
        <v>17</v>
      </c>
    </row>
    <row r="49" spans="2:10" x14ac:dyDescent="0.2">
      <c r="B49" s="104" t="s">
        <v>102</v>
      </c>
      <c r="C49" s="97">
        <f>SUM(VIEŠOSIOS!C48, MIESTŲ_FIL!C43, KAIMO_FIL!C49, VAIKŲ_FIL!C18)</f>
        <v>7</v>
      </c>
      <c r="D49" s="97">
        <f>SUM(VIEŠOSIOS!D48, MIESTŲ_FIL!D43, KAIMO_FIL!D49, VAIKŲ_FIL!D18)</f>
        <v>126175</v>
      </c>
      <c r="E49" s="97">
        <f>SUM(VIEŠOSIOS!E48, MIESTŲ_FIL!E43, KAIMO_FIL!E49, VAIKŲ_FIL!E18)</f>
        <v>9378</v>
      </c>
      <c r="F49" s="97">
        <f>SUM(VIEŠOSIOS!F48, MIESTŲ_FIL!F43, KAIMO_FIL!F49, VAIKŲ_FIL!F18)</f>
        <v>225816</v>
      </c>
      <c r="G49" s="97">
        <f>SUM(VIEŠOSIOS!G48, MIESTŲ_FIL!G43, KAIMO_FIL!G49, VAIKŲ_FIL!G18)</f>
        <v>146742</v>
      </c>
      <c r="H49" s="97">
        <f>SUM(VIEŠOSIOS!H48, MIESTŲ_FIL!H43, KAIMO_FIL!H49, VAIKŲ_FIL!H18)</f>
        <v>40</v>
      </c>
      <c r="I49" s="97">
        <f>SUM(VIEŠOSIOS!I48, MIESTŲ_FIL!I43, KAIMO_FIL!I49, VAIKŲ_FIL!I18)</f>
        <v>7</v>
      </c>
      <c r="J49" s="129">
        <f>SUM(VIEŠOSIOS!J48, MIESTŲ_FIL!J43, KAIMO_FIL!J49, VAIKŲ_FIL!J18)</f>
        <v>7</v>
      </c>
    </row>
    <row r="50" spans="2:10" x14ac:dyDescent="0.2">
      <c r="B50" s="104" t="s">
        <v>196</v>
      </c>
      <c r="C50" s="97">
        <f>SUM(VIEŠOSIOS!C49, MIESTŲ_FIL!C44, KAIMO_FIL!C50)</f>
        <v>36</v>
      </c>
      <c r="D50" s="97">
        <f>SUM(VIEŠOSIOS!D49, MIESTŲ_FIL!D44, KAIMO_FIL!D50)</f>
        <v>212170</v>
      </c>
      <c r="E50" s="97">
        <f>SUM(VIEŠOSIOS!E49, MIESTŲ_FIL!E44, KAIMO_FIL!E50)</f>
        <v>4746</v>
      </c>
      <c r="F50" s="97">
        <f>SUM(VIEŠOSIOS!F49, MIESTŲ_FIL!F44, KAIMO_FIL!F50)</f>
        <v>287244</v>
      </c>
      <c r="G50" s="97">
        <f>SUM(VIEŠOSIOS!G49, MIESTŲ_FIL!G44, KAIMO_FIL!G50)</f>
        <v>87653</v>
      </c>
      <c r="H50" s="97">
        <f>SUM(VIEŠOSIOS!H49, MIESTŲ_FIL!H44, KAIMO_FIL!H50)</f>
        <v>51</v>
      </c>
      <c r="I50" s="97">
        <f>SUM(VIEŠOSIOS!I49, MIESTŲ_FIL!I44, KAIMO_FIL!I50)</f>
        <v>36</v>
      </c>
      <c r="J50" s="129">
        <f>SUM(VIEŠOSIOS!J49, MIESTŲ_FIL!J44, KAIMO_FIL!J50)</f>
        <v>36</v>
      </c>
    </row>
    <row r="51" spans="2:10" x14ac:dyDescent="0.2">
      <c r="B51" s="104" t="s">
        <v>197</v>
      </c>
      <c r="C51" s="97">
        <f>SUM(VIEŠOSIOS!C50, MIESTŲ_FIL!C45, KAIMO_FIL!C51)</f>
        <v>33</v>
      </c>
      <c r="D51" s="97">
        <f>SUM(VIEŠOSIOS!D50, MIESTŲ_FIL!D45, KAIMO_FIL!D51)</f>
        <v>248566</v>
      </c>
      <c r="E51" s="97">
        <f>SUM(VIEŠOSIOS!E50, MIESTŲ_FIL!E45, KAIMO_FIL!E51)</f>
        <v>3752</v>
      </c>
      <c r="F51" s="97">
        <f>SUM(VIEŠOSIOS!F50, MIESTŲ_FIL!F45, KAIMO_FIL!F51)</f>
        <v>172812</v>
      </c>
      <c r="G51" s="97">
        <f>SUM(VIEŠOSIOS!G50, MIESTŲ_FIL!G45, KAIMO_FIL!G51)</f>
        <v>164012</v>
      </c>
      <c r="H51" s="97">
        <f>SUM(VIEŠOSIOS!H50, MIESTŲ_FIL!H45, KAIMO_FIL!H51)</f>
        <v>50</v>
      </c>
      <c r="I51" s="97">
        <f>SUM(VIEŠOSIOS!I50, MIESTŲ_FIL!I45, KAIMO_FIL!I51)</f>
        <v>33</v>
      </c>
      <c r="J51" s="129">
        <f>SUM(VIEŠOSIOS!J50, MIESTŲ_FIL!J45, KAIMO_FIL!J51)</f>
        <v>33</v>
      </c>
    </row>
    <row r="52" spans="2:10" x14ac:dyDescent="0.2">
      <c r="B52" s="104" t="s">
        <v>198</v>
      </c>
      <c r="C52" s="97">
        <f>SUM(VIEŠOSIOS!C51, MIESTŲ_FIL!C46, KAIMO_FIL!C52)</f>
        <v>38</v>
      </c>
      <c r="D52" s="97">
        <f>SUM(VIEŠOSIOS!D51, MIESTŲ_FIL!D46, KAIMO_FIL!D52)</f>
        <v>295770</v>
      </c>
      <c r="E52" s="97">
        <f>SUM(VIEŠOSIOS!E51, MIESTŲ_FIL!E46, KAIMO_FIL!E52)</f>
        <v>9409</v>
      </c>
      <c r="F52" s="97">
        <f>SUM(VIEŠOSIOS!F51, MIESTŲ_FIL!F46, KAIMO_FIL!F52)</f>
        <v>413819</v>
      </c>
      <c r="G52" s="97">
        <f>SUM(VIEŠOSIOS!G51, MIESTŲ_FIL!G46, KAIMO_FIL!G52)</f>
        <v>189792</v>
      </c>
      <c r="H52" s="97">
        <f>SUM(VIEŠOSIOS!H51, MIESTŲ_FIL!H46, KAIMO_FIL!H52)</f>
        <v>61</v>
      </c>
      <c r="I52" s="97">
        <f>SUM(VIEŠOSIOS!I51, MIESTŲ_FIL!I46, KAIMO_FIL!I52)</f>
        <v>38</v>
      </c>
      <c r="J52" s="619">
        <f>SUM(VIEŠOSIOS!J51, MIESTŲ_FIL!J46, KAIMO_FIL!J52)</f>
        <v>38</v>
      </c>
    </row>
    <row r="53" spans="2:10" x14ac:dyDescent="0.2">
      <c r="B53" s="99" t="s">
        <v>22</v>
      </c>
      <c r="C53" s="100">
        <f t="shared" ref="C53:J53" si="4">SUM(C47:C52)</f>
        <v>152</v>
      </c>
      <c r="D53" s="100">
        <f t="shared" si="4"/>
        <v>1234531</v>
      </c>
      <c r="E53" s="100">
        <f t="shared" si="4"/>
        <v>34418</v>
      </c>
      <c r="F53" s="100">
        <f t="shared" si="4"/>
        <v>1294800</v>
      </c>
      <c r="G53" s="100">
        <f t="shared" si="4"/>
        <v>717692</v>
      </c>
      <c r="H53" s="100">
        <f t="shared" si="4"/>
        <v>281</v>
      </c>
      <c r="I53" s="100">
        <f t="shared" si="4"/>
        <v>152</v>
      </c>
      <c r="J53" s="101">
        <f t="shared" si="4"/>
        <v>152</v>
      </c>
    </row>
    <row r="63" spans="2:10" x14ac:dyDescent="0.2">
      <c r="B63" s="130"/>
      <c r="C63" s="130"/>
      <c r="D63" s="130"/>
      <c r="E63" s="130"/>
      <c r="F63" s="130"/>
    </row>
    <row r="67" spans="1:10" x14ac:dyDescent="0.2">
      <c r="B67" s="82"/>
      <c r="C67" s="82"/>
      <c r="D67" s="82"/>
      <c r="E67" s="82"/>
      <c r="F67" s="82"/>
      <c r="G67" s="663"/>
      <c r="H67" s="82"/>
      <c r="I67" s="82"/>
      <c r="J67" s="82"/>
    </row>
    <row r="68" spans="1:10" x14ac:dyDescent="0.2">
      <c r="B68" s="82"/>
      <c r="C68" s="82"/>
      <c r="D68" s="82"/>
      <c r="E68" s="82"/>
      <c r="F68" s="82"/>
      <c r="G68" s="663"/>
      <c r="H68" s="82"/>
      <c r="I68" s="82"/>
      <c r="J68" s="82"/>
    </row>
    <row r="69" spans="1:10" x14ac:dyDescent="0.2">
      <c r="A69" s="87"/>
      <c r="B69" s="929" t="s">
        <v>84</v>
      </c>
      <c r="C69" s="929" t="s">
        <v>85</v>
      </c>
      <c r="D69" s="929" t="s">
        <v>67</v>
      </c>
      <c r="E69" s="929" t="s">
        <v>68</v>
      </c>
      <c r="F69" s="929" t="s">
        <v>69</v>
      </c>
      <c r="G69" s="929" t="s">
        <v>70</v>
      </c>
      <c r="H69" s="929" t="s">
        <v>222</v>
      </c>
      <c r="I69" s="932" t="s">
        <v>223</v>
      </c>
      <c r="J69" s="933"/>
    </row>
    <row r="70" spans="1:10" x14ac:dyDescent="0.2">
      <c r="A70" s="87"/>
      <c r="B70" s="930"/>
      <c r="C70" s="930"/>
      <c r="D70" s="930"/>
      <c r="E70" s="930"/>
      <c r="F70" s="930"/>
      <c r="G70" s="930"/>
      <c r="H70" s="930"/>
      <c r="I70" s="934"/>
      <c r="J70" s="935"/>
    </row>
    <row r="71" spans="1:10" ht="20.25" customHeight="1" x14ac:dyDescent="0.2">
      <c r="A71" s="87"/>
      <c r="B71" s="931"/>
      <c r="C71" s="931"/>
      <c r="D71" s="931"/>
      <c r="E71" s="931"/>
      <c r="F71" s="931"/>
      <c r="G71" s="931"/>
      <c r="H71" s="931"/>
      <c r="I71" s="88" t="s">
        <v>73</v>
      </c>
      <c r="J71" s="89" t="s">
        <v>86</v>
      </c>
    </row>
    <row r="72" spans="1:10" x14ac:dyDescent="0.2">
      <c r="B72" s="90">
        <v>1</v>
      </c>
      <c r="C72" s="90">
        <v>2</v>
      </c>
      <c r="D72" s="90">
        <v>3</v>
      </c>
      <c r="E72" s="90">
        <v>4</v>
      </c>
      <c r="F72" s="90">
        <v>5</v>
      </c>
      <c r="G72" s="662">
        <v>6</v>
      </c>
      <c r="H72" s="90">
        <v>7</v>
      </c>
      <c r="I72" s="90">
        <v>8</v>
      </c>
      <c r="J72" s="106">
        <v>9</v>
      </c>
    </row>
    <row r="73" spans="1:10" x14ac:dyDescent="0.2">
      <c r="A73" s="87"/>
      <c r="B73" s="572" t="s">
        <v>103</v>
      </c>
      <c r="J73" s="618"/>
    </row>
    <row r="74" spans="1:10" x14ac:dyDescent="0.2">
      <c r="A74" s="87"/>
      <c r="B74" s="107" t="s">
        <v>199</v>
      </c>
      <c r="C74" s="93">
        <f>SUM(VIEŠOSIOS!C73, MIESTŲ_FIL!C69, KAIMO_FIL!C68)</f>
        <v>14</v>
      </c>
      <c r="D74" s="93">
        <f>SUM(VIEŠOSIOS!D73, MIESTŲ_FIL!D69, KAIMO_FIL!D68)</f>
        <v>180368</v>
      </c>
      <c r="E74" s="93">
        <f>SUM(VIEŠOSIOS!E73, MIESTŲ_FIL!E69, KAIMO_FIL!E68)</f>
        <v>4856</v>
      </c>
      <c r="F74" s="93">
        <f>SUM(VIEŠOSIOS!F73, MIESTŲ_FIL!F69, KAIMO_FIL!F68)</f>
        <v>107992</v>
      </c>
      <c r="G74" s="95">
        <f>SUM(VIEŠOSIOS!G73, MIESTŲ_FIL!G69, KAIMO_FIL!G68)</f>
        <v>40077</v>
      </c>
      <c r="H74" s="93">
        <f>SUM(VIEŠOSIOS!H73, MIESTŲ_FIL!H69, KAIMO_FIL!H68)</f>
        <v>30</v>
      </c>
      <c r="I74" s="93">
        <f>SUM(VIEŠOSIOS!I73, MIESTŲ_FIL!I69, KAIMO_FIL!I68)</f>
        <v>14</v>
      </c>
      <c r="J74" s="81">
        <f>SUM(VIEŠOSIOS!J73, MIESTŲ_FIL!J69, KAIMO_FIL!J68)</f>
        <v>14</v>
      </c>
    </row>
    <row r="75" spans="1:10" x14ac:dyDescent="0.2">
      <c r="A75" s="87"/>
      <c r="B75" s="107" t="s">
        <v>200</v>
      </c>
      <c r="C75" s="93">
        <f>SUM(VIEŠOSIOS!C74, MIESTŲ_FIL!C70, KAIMO_FIL!C69)</f>
        <v>18</v>
      </c>
      <c r="D75" s="93">
        <f>SUM(VIEŠOSIOS!D74, MIESTŲ_FIL!D70, KAIMO_FIL!D69)</f>
        <v>151018</v>
      </c>
      <c r="E75" s="93">
        <f>SUM(VIEŠOSIOS!E74, MIESTŲ_FIL!E70, KAIMO_FIL!E69)</f>
        <v>5698</v>
      </c>
      <c r="F75" s="93">
        <f>SUM(VIEŠOSIOS!F74, MIESTŲ_FIL!F70, KAIMO_FIL!F69)</f>
        <v>187794</v>
      </c>
      <c r="G75" s="95">
        <f>SUM(VIEŠOSIOS!G74, MIESTŲ_FIL!G70, KAIMO_FIL!G69)</f>
        <v>95263</v>
      </c>
      <c r="H75" s="93">
        <f>SUM(VIEŠOSIOS!H74, MIESTŲ_FIL!H70, KAIMO_FIL!H69)</f>
        <v>35</v>
      </c>
      <c r="I75" s="93">
        <f>SUM(VIEŠOSIOS!I74, MIESTŲ_FIL!I70, KAIMO_FIL!I69)</f>
        <v>18</v>
      </c>
      <c r="J75" s="81">
        <f>SUM(VIEŠOSIOS!J74, MIESTŲ_FIL!J70, KAIMO_FIL!J69)</f>
        <v>18</v>
      </c>
    </row>
    <row r="76" spans="1:10" x14ac:dyDescent="0.2">
      <c r="A76" s="87"/>
      <c r="B76" s="107" t="s">
        <v>201</v>
      </c>
      <c r="C76" s="93">
        <f>SUM(VIEŠOSIOS!C75, MIESTŲ_FIL!C71, KAIMO_FIL!C70)</f>
        <v>18</v>
      </c>
      <c r="D76" s="93">
        <f>SUM(VIEŠOSIOS!D75, MIESTŲ_FIL!D71, KAIMO_FIL!D70)</f>
        <v>116100</v>
      </c>
      <c r="E76" s="93">
        <f>SUM(VIEŠOSIOS!E75, MIESTŲ_FIL!E71, KAIMO_FIL!E70)</f>
        <v>4348</v>
      </c>
      <c r="F76" s="93">
        <f>SUM(VIEŠOSIOS!F75, MIESTŲ_FIL!F71, KAIMO_FIL!F70)</f>
        <v>86158</v>
      </c>
      <c r="G76" s="95">
        <f>SUM(VIEŠOSIOS!G75, MIESTŲ_FIL!G71, KAIMO_FIL!G70)</f>
        <v>113734</v>
      </c>
      <c r="H76" s="93">
        <f>SUM(VIEŠOSIOS!H75, MIESTŲ_FIL!H71, KAIMO_FIL!H70)</f>
        <v>35</v>
      </c>
      <c r="I76" s="93">
        <f>SUM(VIEŠOSIOS!I75, MIESTŲ_FIL!I71, KAIMO_FIL!I70)</f>
        <v>18</v>
      </c>
      <c r="J76" s="81">
        <f>SUM(VIEŠOSIOS!J75, MIESTŲ_FIL!J71, KAIMO_FIL!J70)</f>
        <v>18</v>
      </c>
    </row>
    <row r="77" spans="1:10" x14ac:dyDescent="0.2">
      <c r="A77" s="87"/>
      <c r="B77" s="107" t="s">
        <v>202</v>
      </c>
      <c r="C77" s="93">
        <f>SUM(VIEŠOSIOS!C76, MIESTŲ_FIL!C72, KAIMO_FIL!C71)</f>
        <v>24</v>
      </c>
      <c r="D77" s="93">
        <f>SUM(VIEŠOSIOS!D76, MIESTŲ_FIL!D72, KAIMO_FIL!D71)</f>
        <v>163203</v>
      </c>
      <c r="E77" s="93">
        <f>SUM(VIEŠOSIOS!E76, MIESTŲ_FIL!E72, KAIMO_FIL!E71)</f>
        <v>4286</v>
      </c>
      <c r="F77" s="93">
        <f>SUM(VIEŠOSIOS!F76, MIESTŲ_FIL!F72, KAIMO_FIL!F71)</f>
        <v>132227</v>
      </c>
      <c r="G77" s="95">
        <f>SUM(VIEŠOSIOS!G76, MIESTŲ_FIL!G72, KAIMO_FIL!G71)</f>
        <v>108975</v>
      </c>
      <c r="H77" s="93">
        <f>SUM(VIEŠOSIOS!H76, MIESTŲ_FIL!H72, KAIMO_FIL!H71)</f>
        <v>36</v>
      </c>
      <c r="I77" s="93">
        <f>SUM(VIEŠOSIOS!I76, MIESTŲ_FIL!I72, KAIMO_FIL!I71)</f>
        <v>24</v>
      </c>
      <c r="J77" s="81">
        <f>SUM(VIEŠOSIOS!J76, MIESTŲ_FIL!J72, KAIMO_FIL!J71)</f>
        <v>24</v>
      </c>
    </row>
    <row r="78" spans="1:10" x14ac:dyDescent="0.2">
      <c r="B78" s="107" t="s">
        <v>203</v>
      </c>
      <c r="C78" s="93">
        <f>SUM(VIEŠOSIOS!C77, MIESTŲ_FIL!C73, KAIMO_FIL!C72)</f>
        <v>26</v>
      </c>
      <c r="D78" s="93">
        <f>SUM(VIEŠOSIOS!D77, MIESTŲ_FIL!D73, KAIMO_FIL!D72)</f>
        <v>261867</v>
      </c>
      <c r="E78" s="93">
        <f>SUM(VIEŠOSIOS!E77, MIESTŲ_FIL!E73, KAIMO_FIL!E72)</f>
        <v>8927</v>
      </c>
      <c r="F78" s="93">
        <f>SUM(VIEŠOSIOS!F77, MIESTŲ_FIL!F73, KAIMO_FIL!F72)</f>
        <v>173500</v>
      </c>
      <c r="G78" s="95">
        <f>SUM(VIEŠOSIOS!G77, MIESTŲ_FIL!G73, KAIMO_FIL!G72)</f>
        <v>306645</v>
      </c>
      <c r="H78" s="93">
        <f>SUM(VIEŠOSIOS!H77, MIESTŲ_FIL!H73, KAIMO_FIL!H72)</f>
        <v>53</v>
      </c>
      <c r="I78" s="93">
        <f>SUM(VIEŠOSIOS!I77, MIESTŲ_FIL!I73, KAIMO_FIL!I72)</f>
        <v>26</v>
      </c>
      <c r="J78" s="81">
        <f>SUM(VIEŠOSIOS!J77, MIESTŲ_FIL!J73, KAIMO_FIL!J72)</f>
        <v>26</v>
      </c>
    </row>
    <row r="79" spans="1:10" x14ac:dyDescent="0.2">
      <c r="B79" s="107" t="s">
        <v>104</v>
      </c>
      <c r="C79" s="93">
        <f>SUM(VIEŠOSIOS!C78, MIESTŲ_FIL!C74, KAIMO_FIL!C73, VAIKŲ_FIL!C20)</f>
        <v>8</v>
      </c>
      <c r="D79" s="93">
        <f>SUM(VIEŠOSIOS!D78, MIESTŲ_FIL!D74, KAIMO_FIL!D73, VAIKŲ_FIL!D20)</f>
        <v>225235</v>
      </c>
      <c r="E79" s="93">
        <f>SUM(VIEŠOSIOS!E78, MIESTŲ_FIL!E74, KAIMO_FIL!E73, VAIKŲ_FIL!E20)</f>
        <v>6253</v>
      </c>
      <c r="F79" s="93">
        <f>SUM(VIEŠOSIOS!F78, MIESTŲ_FIL!F74, KAIMO_FIL!F73, VAIKŲ_FIL!F20)</f>
        <v>206736</v>
      </c>
      <c r="G79" s="95">
        <f>SUM(VIEŠOSIOS!G78, MIESTŲ_FIL!G74, KAIMO_FIL!G73, VAIKŲ_FIL!G20)</f>
        <v>138749</v>
      </c>
      <c r="H79" s="93">
        <f>SUM(VIEŠOSIOS!H78, MIESTŲ_FIL!H74, KAIMO_FIL!H73, VAIKŲ_FIL!H20)</f>
        <v>38</v>
      </c>
      <c r="I79" s="93">
        <f>SUM(VIEŠOSIOS!I78, MIESTŲ_FIL!I74, KAIMO_FIL!I73, VAIKŲ_FIL!I20)</f>
        <v>8</v>
      </c>
      <c r="J79" s="81">
        <f>SUM(VIEŠOSIOS!J78, MIESTŲ_FIL!J74, KAIMO_FIL!J73, VAIKŲ_FIL!J20)</f>
        <v>8</v>
      </c>
    </row>
    <row r="80" spans="1:10" x14ac:dyDescent="0.2">
      <c r="B80" s="107" t="s">
        <v>204</v>
      </c>
      <c r="C80" s="93">
        <f>SUM(VIEŠOSIOS!C79, MIESTŲ_FIL!C75, KAIMO_FIL!C74)</f>
        <v>25</v>
      </c>
      <c r="D80" s="93">
        <f>SUM(VIEŠOSIOS!D79, MIESTŲ_FIL!D75, KAIMO_FIL!D74)</f>
        <v>199083</v>
      </c>
      <c r="E80" s="93">
        <f>SUM(VIEŠOSIOS!E79, MIESTŲ_FIL!E75, KAIMO_FIL!E74)</f>
        <v>6547</v>
      </c>
      <c r="F80" s="93">
        <f>SUM(VIEŠOSIOS!F79, MIESTŲ_FIL!F75, KAIMO_FIL!F74)</f>
        <v>131613</v>
      </c>
      <c r="G80" s="95">
        <f>SUM(VIEŠOSIOS!G79, MIESTŲ_FIL!G75, KAIMO_FIL!G74)</f>
        <v>74803</v>
      </c>
      <c r="H80" s="93">
        <f>SUM(VIEŠOSIOS!H79, MIESTŲ_FIL!H75, KAIMO_FIL!H74)</f>
        <v>43</v>
      </c>
      <c r="I80" s="93">
        <f>SUM(VIEŠOSIOS!I79, MIESTŲ_FIL!I75, KAIMO_FIL!I74)</f>
        <v>25</v>
      </c>
      <c r="J80" s="84">
        <f>SUM(VIEŠOSIOS!J79, MIESTŲ_FIL!J75, KAIMO_FIL!J74)</f>
        <v>25</v>
      </c>
    </row>
    <row r="81" spans="2:10" x14ac:dyDescent="0.2">
      <c r="B81" s="108" t="s">
        <v>22</v>
      </c>
      <c r="C81" s="100">
        <f t="shared" ref="C81:J81" si="5">SUM(C74:C80)</f>
        <v>133</v>
      </c>
      <c r="D81" s="100">
        <f t="shared" si="5"/>
        <v>1296874</v>
      </c>
      <c r="E81" s="100">
        <f t="shared" si="5"/>
        <v>40915</v>
      </c>
      <c r="F81" s="100">
        <f t="shared" si="5"/>
        <v>1026020</v>
      </c>
      <c r="G81" s="100">
        <f t="shared" si="5"/>
        <v>878246</v>
      </c>
      <c r="H81" s="100">
        <f t="shared" si="5"/>
        <v>270</v>
      </c>
      <c r="I81" s="100">
        <f t="shared" si="5"/>
        <v>133</v>
      </c>
      <c r="J81" s="101">
        <f t="shared" si="5"/>
        <v>133</v>
      </c>
    </row>
    <row r="82" spans="2:10" x14ac:dyDescent="0.2">
      <c r="B82" s="109" t="s">
        <v>105</v>
      </c>
      <c r="C82" s="93"/>
      <c r="D82" s="93"/>
      <c r="E82" s="93"/>
      <c r="F82" s="93"/>
      <c r="G82" s="95"/>
      <c r="H82" s="93"/>
      <c r="I82" s="93"/>
      <c r="J82" s="80"/>
    </row>
    <row r="83" spans="2:10" x14ac:dyDescent="0.2">
      <c r="B83" s="107" t="s">
        <v>205</v>
      </c>
      <c r="C83" s="93">
        <f>SUM(VIEŠOSIOS!C82, MIESTŲ_FIL!C78, KAIMO_FIL!C77)</f>
        <v>25</v>
      </c>
      <c r="D83" s="93">
        <f>SUM(VIEŠOSIOS!D82, MIESTŲ_FIL!D78, KAIMO_FIL!D77)</f>
        <v>208251</v>
      </c>
      <c r="E83" s="93">
        <f>SUM(VIEŠOSIOS!E82, MIESTŲ_FIL!E78, KAIMO_FIL!E77)</f>
        <v>3863</v>
      </c>
      <c r="F83" s="93">
        <f>SUM(VIEŠOSIOS!F82, MIESTŲ_FIL!F78, KAIMO_FIL!F77)</f>
        <v>114797</v>
      </c>
      <c r="G83" s="95">
        <f>SUM(VIEŠOSIOS!G82, MIESTŲ_FIL!G78, KAIMO_FIL!G77)</f>
        <v>86433</v>
      </c>
      <c r="H83" s="93">
        <f>SUM(VIEŠOSIOS!H82, MIESTŲ_FIL!H78, KAIMO_FIL!H77)</f>
        <v>41</v>
      </c>
      <c r="I83" s="93">
        <f>SUM(VIEŠOSIOS!I82, MIESTŲ_FIL!I78, KAIMO_FIL!I77)</f>
        <v>25</v>
      </c>
      <c r="J83" s="81">
        <f>SUM(VIEŠOSIOS!J82, MIESTŲ_FIL!J78, KAIMO_FIL!J77)</f>
        <v>25</v>
      </c>
    </row>
    <row r="84" spans="2:10" x14ac:dyDescent="0.2">
      <c r="B84" s="107" t="s">
        <v>106</v>
      </c>
      <c r="C84" s="93">
        <f>SUM(VIEŠOSIOS!C83, KAIMO_FIL!C78)</f>
        <v>9</v>
      </c>
      <c r="D84" s="93">
        <f>SUM(VIEŠOSIOS!D83, KAIMO_FIL!D78)</f>
        <v>99022</v>
      </c>
      <c r="E84" s="93">
        <f>SUM(VIEŠOSIOS!E83, KAIMO_FIL!E78)</f>
        <v>1347</v>
      </c>
      <c r="F84" s="93">
        <f>SUM(VIEŠOSIOS!F83, KAIMO_FIL!F78)</f>
        <v>32238</v>
      </c>
      <c r="G84" s="95">
        <f>SUM(VIEŠOSIOS!G83, KAIMO_FIL!G78)</f>
        <v>27854</v>
      </c>
      <c r="H84" s="93">
        <f>SUM(VIEŠOSIOS!H83, KAIMO_FIL!H78)</f>
        <v>15</v>
      </c>
      <c r="I84" s="93">
        <f>SUM(VIEŠOSIOS!I83, KAIMO_FIL!I78)</f>
        <v>9</v>
      </c>
      <c r="J84" s="81">
        <f>SUM(VIEŠOSIOS!J83, KAIMO_FIL!J78)</f>
        <v>9</v>
      </c>
    </row>
    <row r="85" spans="2:10" x14ac:dyDescent="0.2">
      <c r="B85" s="107" t="s">
        <v>206</v>
      </c>
      <c r="C85" s="93">
        <f>SUM(VIEŠOSIOS!C84, KAIMO_FIL!C79)</f>
        <v>24</v>
      </c>
      <c r="D85" s="93">
        <f>SUM(VIEŠOSIOS!D84, KAIMO_FIL!D79)</f>
        <v>182991</v>
      </c>
      <c r="E85" s="93">
        <f>SUM(VIEŠOSIOS!E84, KAIMO_FIL!E79)</f>
        <v>4251</v>
      </c>
      <c r="F85" s="93">
        <f>SUM(VIEŠOSIOS!F84, KAIMO_FIL!F79)</f>
        <v>100628</v>
      </c>
      <c r="G85" s="95">
        <f>SUM(VIEŠOSIOS!G84, KAIMO_FIL!G79)</f>
        <v>70176</v>
      </c>
      <c r="H85" s="93">
        <f>SUM(VIEŠOSIOS!H84, KAIMO_FIL!H79)</f>
        <v>36</v>
      </c>
      <c r="I85" s="93">
        <f>SUM(VIEŠOSIOS!I84, KAIMO_FIL!I79)</f>
        <v>24</v>
      </c>
      <c r="J85" s="81">
        <f>SUM(VIEŠOSIOS!J84, KAIMO_FIL!J79)</f>
        <v>24</v>
      </c>
    </row>
    <row r="86" spans="2:10" x14ac:dyDescent="0.2">
      <c r="B86" s="107" t="s">
        <v>207</v>
      </c>
      <c r="C86" s="93">
        <f>SUM(VIEŠOSIOS!C85, MIESTŲ_FIL!C79, KAIMO_FIL!C80)</f>
        <v>27</v>
      </c>
      <c r="D86" s="93">
        <f>SUM(VIEŠOSIOS!D85, MIESTŲ_FIL!D79, KAIMO_FIL!D80)</f>
        <v>234568</v>
      </c>
      <c r="E86" s="93">
        <f>SUM(VIEŠOSIOS!E85, MIESTŲ_FIL!E79, KAIMO_FIL!E80)</f>
        <v>6432</v>
      </c>
      <c r="F86" s="93">
        <f>SUM(VIEŠOSIOS!F85, MIESTŲ_FIL!F79, KAIMO_FIL!F80)</f>
        <v>136995</v>
      </c>
      <c r="G86" s="95">
        <f>SUM(VIEŠOSIOS!G85, MIESTŲ_FIL!G79, KAIMO_FIL!G80)</f>
        <v>121468</v>
      </c>
      <c r="H86" s="93">
        <f>SUM(VIEŠOSIOS!H85, MIESTŲ_FIL!H79, KAIMO_FIL!H80)</f>
        <v>50</v>
      </c>
      <c r="I86" s="93">
        <f>SUM(VIEŠOSIOS!I85, MIESTŲ_FIL!I79, KAIMO_FIL!I80)</f>
        <v>27</v>
      </c>
      <c r="J86" s="84">
        <f>SUM(VIEŠOSIOS!J85, MIESTŲ_FIL!J79, KAIMO_FIL!J80)</f>
        <v>27</v>
      </c>
    </row>
    <row r="87" spans="2:10" x14ac:dyDescent="0.2">
      <c r="B87" s="108" t="s">
        <v>22</v>
      </c>
      <c r="C87" s="100">
        <f t="shared" ref="C87:J87" si="6">SUM(C83:C86)</f>
        <v>85</v>
      </c>
      <c r="D87" s="100">
        <f t="shared" si="6"/>
        <v>724832</v>
      </c>
      <c r="E87" s="100">
        <f t="shared" si="6"/>
        <v>15893</v>
      </c>
      <c r="F87" s="100">
        <f t="shared" si="6"/>
        <v>384658</v>
      </c>
      <c r="G87" s="100">
        <f t="shared" si="6"/>
        <v>305931</v>
      </c>
      <c r="H87" s="100">
        <f t="shared" si="6"/>
        <v>142</v>
      </c>
      <c r="I87" s="100">
        <f t="shared" si="6"/>
        <v>85</v>
      </c>
      <c r="J87" s="101">
        <f t="shared" si="6"/>
        <v>85</v>
      </c>
    </row>
    <row r="88" spans="2:10" x14ac:dyDescent="0.2">
      <c r="B88" s="109" t="s">
        <v>107</v>
      </c>
      <c r="C88" s="93"/>
      <c r="D88" s="93"/>
      <c r="E88" s="93"/>
      <c r="F88" s="93"/>
      <c r="G88" s="95"/>
      <c r="H88" s="93"/>
      <c r="I88" s="93"/>
      <c r="J88" s="80"/>
    </row>
    <row r="89" spans="2:10" x14ac:dyDescent="0.2">
      <c r="B89" s="107" t="s">
        <v>208</v>
      </c>
      <c r="C89" s="93">
        <f>SUM(VIEŠOSIOS!C88, MIESTŲ_FIL!C82, KAIMO_FIL!C83)</f>
        <v>25</v>
      </c>
      <c r="D89" s="93">
        <f>SUM(VIEŠOSIOS!D88, MIESTŲ_FIL!D82, KAIMO_FIL!D83)</f>
        <v>198488</v>
      </c>
      <c r="E89" s="93">
        <f>SUM(VIEŠOSIOS!E88, MIESTŲ_FIL!E82, KAIMO_FIL!E83)</f>
        <v>6643</v>
      </c>
      <c r="F89" s="93">
        <f>SUM(VIEŠOSIOS!F88, MIESTŲ_FIL!F82, KAIMO_FIL!F83)</f>
        <v>157145</v>
      </c>
      <c r="G89" s="95">
        <f>SUM(VIEŠOSIOS!G88, MIESTŲ_FIL!G82, KAIMO_FIL!G83)</f>
        <v>135053</v>
      </c>
      <c r="H89" s="93">
        <f>SUM(VIEŠOSIOS!H88, MIESTŲ_FIL!H82, KAIMO_FIL!H83)</f>
        <v>50</v>
      </c>
      <c r="I89" s="93">
        <f>SUM(VIEŠOSIOS!I88, MIESTŲ_FIL!I82, KAIMO_FIL!I83)</f>
        <v>25</v>
      </c>
      <c r="J89" s="81">
        <f>SUM(VIEŠOSIOS!J88, MIESTŲ_FIL!J82, KAIMO_FIL!J83)</f>
        <v>25</v>
      </c>
    </row>
    <row r="90" spans="2:10" x14ac:dyDescent="0.2">
      <c r="B90" s="107" t="s">
        <v>209</v>
      </c>
      <c r="C90" s="93">
        <f>SUM(VIEŠOSIOS!C89, MIESTŲ_FIL!C83, KAIMO_FIL!C84)</f>
        <v>17</v>
      </c>
      <c r="D90" s="93">
        <f>SUM(VIEŠOSIOS!D89, MIESTŲ_FIL!D83, KAIMO_FIL!D84)</f>
        <v>138923</v>
      </c>
      <c r="E90" s="93">
        <f>SUM(VIEŠOSIOS!E89, MIESTŲ_FIL!E83, KAIMO_FIL!E84)</f>
        <v>4712</v>
      </c>
      <c r="F90" s="93">
        <f>SUM(VIEŠOSIOS!F89, MIESTŲ_FIL!F83, KAIMO_FIL!F84)</f>
        <v>103435</v>
      </c>
      <c r="G90" s="95">
        <f>SUM(VIEŠOSIOS!G89, MIESTŲ_FIL!G83, KAIMO_FIL!G84)</f>
        <v>115405</v>
      </c>
      <c r="H90" s="93">
        <f>SUM(VIEŠOSIOS!H89, MIESTŲ_FIL!H83, KAIMO_FIL!H84)</f>
        <v>31</v>
      </c>
      <c r="I90" s="93">
        <f>SUM(VIEŠOSIOS!I89, MIESTŲ_FIL!I83, KAIMO_FIL!I84)</f>
        <v>17</v>
      </c>
      <c r="J90" s="81">
        <f>SUM(VIEŠOSIOS!J89, MIESTŲ_FIL!J83, KAIMO_FIL!J84)</f>
        <v>17</v>
      </c>
    </row>
    <row r="91" spans="2:10" x14ac:dyDescent="0.2">
      <c r="B91" s="107" t="s">
        <v>108</v>
      </c>
      <c r="C91" s="93">
        <f>SUM(VIEŠOSIOS!C90, KAIMO_FIL!C85)</f>
        <v>7</v>
      </c>
      <c r="D91" s="93">
        <f>SUM(VIEŠOSIOS!D90, KAIMO_FIL!D85)</f>
        <v>65796</v>
      </c>
      <c r="E91" s="93">
        <f>SUM(VIEŠOSIOS!E90, KAIMO_FIL!E85)</f>
        <v>1144</v>
      </c>
      <c r="F91" s="93">
        <f>SUM(VIEŠOSIOS!F90, KAIMO_FIL!F85)</f>
        <v>29524</v>
      </c>
      <c r="G91" s="95">
        <f>SUM(VIEŠOSIOS!G90, KAIMO_FIL!G85)</f>
        <v>15330</v>
      </c>
      <c r="H91" s="93">
        <f>SUM(VIEŠOSIOS!H90, KAIMO_FIL!H85)</f>
        <v>12</v>
      </c>
      <c r="I91" s="93">
        <f>SUM(VIEŠOSIOS!I90, KAIMO_FIL!I85)</f>
        <v>7</v>
      </c>
      <c r="J91" s="81">
        <f>SUM(VIEŠOSIOS!J90, KAIMO_FIL!J85)</f>
        <v>7</v>
      </c>
    </row>
    <row r="92" spans="2:10" x14ac:dyDescent="0.2">
      <c r="B92" s="107" t="s">
        <v>210</v>
      </c>
      <c r="C92" s="93">
        <f>SUM(VIEŠOSIOS!C91, MIESTŲ_FIL!C84, KAIMO_FIL!C86)</f>
        <v>29</v>
      </c>
      <c r="D92" s="93">
        <f>SUM(VIEŠOSIOS!D91, MIESTŲ_FIL!D84, KAIMO_FIL!D86)</f>
        <v>242179</v>
      </c>
      <c r="E92" s="93">
        <f>SUM(VIEŠOSIOS!E91, MIESTŲ_FIL!E84, KAIMO_FIL!E86)</f>
        <v>6572</v>
      </c>
      <c r="F92" s="93">
        <f>SUM(VIEŠOSIOS!F91, MIESTŲ_FIL!F84, KAIMO_FIL!F86)</f>
        <v>139619</v>
      </c>
      <c r="G92" s="95">
        <f>SUM(VIEŠOSIOS!G91, MIESTŲ_FIL!G84, KAIMO_FIL!G86)</f>
        <v>99354</v>
      </c>
      <c r="H92" s="93">
        <f>SUM(VIEŠOSIOS!H91, MIESTŲ_FIL!H84, KAIMO_FIL!H86)</f>
        <v>49</v>
      </c>
      <c r="I92" s="93">
        <f>SUM(VIEŠOSIOS!I91, MIESTŲ_FIL!I84, KAIMO_FIL!I86)</f>
        <v>29</v>
      </c>
      <c r="J92" s="84">
        <f>SUM(VIEŠOSIOS!J91, MIESTŲ_FIL!J84, KAIMO_FIL!J86)</f>
        <v>29</v>
      </c>
    </row>
    <row r="93" spans="2:10" x14ac:dyDescent="0.2">
      <c r="B93" s="108" t="s">
        <v>22</v>
      </c>
      <c r="C93" s="101">
        <f t="shared" ref="C93:J93" si="7">SUM(C89:C92)</f>
        <v>78</v>
      </c>
      <c r="D93" s="101">
        <f t="shared" si="7"/>
        <v>645386</v>
      </c>
      <c r="E93" s="101">
        <f t="shared" si="7"/>
        <v>19071</v>
      </c>
      <c r="F93" s="101">
        <f t="shared" si="7"/>
        <v>429723</v>
      </c>
      <c r="G93" s="101">
        <f t="shared" si="7"/>
        <v>365142</v>
      </c>
      <c r="H93" s="101">
        <f t="shared" si="7"/>
        <v>142</v>
      </c>
      <c r="I93" s="101">
        <f t="shared" si="7"/>
        <v>78</v>
      </c>
      <c r="J93" s="101">
        <f t="shared" si="7"/>
        <v>78</v>
      </c>
    </row>
    <row r="94" spans="2:10" x14ac:dyDescent="0.2">
      <c r="B94" s="109" t="s">
        <v>109</v>
      </c>
      <c r="C94" s="93"/>
      <c r="D94" s="93"/>
      <c r="E94" s="93"/>
      <c r="F94" s="93"/>
      <c r="G94" s="95"/>
      <c r="H94" s="93"/>
      <c r="I94" s="93"/>
      <c r="J94" s="81"/>
    </row>
    <row r="95" spans="2:10" x14ac:dyDescent="0.2">
      <c r="B95" s="107" t="s">
        <v>211</v>
      </c>
      <c r="C95" s="93">
        <f>SUM(VIEŠOSIOS!C94, MIESTŲ_FIL!C87, KAIMO_FIL!C89)</f>
        <v>24</v>
      </c>
      <c r="D95" s="93">
        <f>SUM(VIEŠOSIOS!D94, MIESTŲ_FIL!D87, KAIMO_FIL!D89)</f>
        <v>198337</v>
      </c>
      <c r="E95" s="93">
        <f>SUM(VIEŠOSIOS!E94, MIESTŲ_FIL!E87, KAIMO_FIL!E89)</f>
        <v>6276</v>
      </c>
      <c r="F95" s="93">
        <f>SUM(VIEŠOSIOS!F94, MIESTŲ_FIL!F87, KAIMO_FIL!F89)</f>
        <v>165453</v>
      </c>
      <c r="G95" s="95">
        <f>SUM(VIEŠOSIOS!G94, MIESTŲ_FIL!G87, KAIMO_FIL!G89)</f>
        <v>109031</v>
      </c>
      <c r="H95" s="93">
        <f>SUM(VIEŠOSIOS!H94, MIESTŲ_FIL!H87, KAIMO_FIL!H89)</f>
        <v>44</v>
      </c>
      <c r="I95" s="93">
        <f>SUM(VIEŠOSIOS!I94, MIESTŲ_FIL!I87, KAIMO_FIL!I89)</f>
        <v>24</v>
      </c>
      <c r="J95" s="81">
        <f>SUM(VIEŠOSIOS!J94, MIESTŲ_FIL!J87, KAIMO_FIL!J89)</f>
        <v>24</v>
      </c>
    </row>
    <row r="96" spans="2:10" x14ac:dyDescent="0.2">
      <c r="B96" s="107" t="s">
        <v>212</v>
      </c>
      <c r="C96" s="93">
        <f>SUM(VIEŠOSIOS!C95, MIESTŲ_FIL!C88, KAIMO_FIL!C90)</f>
        <v>21</v>
      </c>
      <c r="D96" s="93">
        <f>SUM(VIEŠOSIOS!D95, MIESTŲ_FIL!D88, KAIMO_FIL!D90)</f>
        <v>156526</v>
      </c>
      <c r="E96" s="93">
        <f>SUM(VIEŠOSIOS!E95, MIESTŲ_FIL!E88, KAIMO_FIL!E90)</f>
        <v>3512</v>
      </c>
      <c r="F96" s="93">
        <f>SUM(VIEŠOSIOS!F95, MIESTŲ_FIL!F88, KAIMO_FIL!F90)</f>
        <v>75151</v>
      </c>
      <c r="G96" s="95">
        <f>SUM(VIEŠOSIOS!G95, MIESTŲ_FIL!G88, KAIMO_FIL!G90)</f>
        <v>72827</v>
      </c>
      <c r="H96" s="93">
        <f>SUM(VIEŠOSIOS!H95, MIESTŲ_FIL!H88, KAIMO_FIL!H90)</f>
        <v>38</v>
      </c>
      <c r="I96" s="93">
        <f>SUM(VIEŠOSIOS!I95, MIESTŲ_FIL!I88, KAIMO_FIL!I90)</f>
        <v>21</v>
      </c>
      <c r="J96" s="81">
        <f>SUM(VIEŠOSIOS!J95, MIESTŲ_FIL!J88, KAIMO_FIL!J90)</f>
        <v>21</v>
      </c>
    </row>
    <row r="97" spans="1:11" x14ac:dyDescent="0.2">
      <c r="B97" s="107" t="s">
        <v>213</v>
      </c>
      <c r="C97" s="93">
        <f>SUM(VIEŠOSIOS!C96, KAIMO_FIL!C91)</f>
        <v>25</v>
      </c>
      <c r="D97" s="93">
        <f>SUM(VIEŠOSIOS!D96, KAIMO_FIL!D91)</f>
        <v>136532</v>
      </c>
      <c r="E97" s="93">
        <f>SUM(VIEŠOSIOS!E96, KAIMO_FIL!E91)</f>
        <v>4547</v>
      </c>
      <c r="F97" s="93">
        <f>SUM(VIEŠOSIOS!F96, KAIMO_FIL!F91)</f>
        <v>128519</v>
      </c>
      <c r="G97" s="95">
        <f>SUM(VIEŠOSIOS!G96, KAIMO_FIL!G91)</f>
        <v>124676</v>
      </c>
      <c r="H97" s="93">
        <f>SUM(VIEŠOSIOS!H96, KAIMO_FIL!H91)</f>
        <v>40</v>
      </c>
      <c r="I97" s="93">
        <f>SUM(VIEŠOSIOS!I96, KAIMO_FIL!I91)</f>
        <v>25</v>
      </c>
      <c r="J97" s="81">
        <f>SUM(VIEŠOSIOS!J96, KAIMO_FIL!J91)</f>
        <v>25</v>
      </c>
    </row>
    <row r="98" spans="1:11" x14ac:dyDescent="0.2">
      <c r="B98" s="107" t="s">
        <v>214</v>
      </c>
      <c r="C98" s="93">
        <f>SUM(VIEŠOSIOS!C97, MIESTŲ_FIL!C89, KAIMO_FIL!C92)</f>
        <v>23</v>
      </c>
      <c r="D98" s="93">
        <f>SUM(VIEŠOSIOS!D97, MIESTŲ_FIL!D89, KAIMO_FIL!D92)</f>
        <v>262577</v>
      </c>
      <c r="E98" s="93">
        <f>SUM(VIEŠOSIOS!E97, MIESTŲ_FIL!E89, KAIMO_FIL!E92)</f>
        <v>4624</v>
      </c>
      <c r="F98" s="93">
        <f>SUM(VIEŠOSIOS!F97, MIESTŲ_FIL!F89, KAIMO_FIL!F92)</f>
        <v>189851</v>
      </c>
      <c r="G98" s="95">
        <f>SUM(VIEŠOSIOS!G97, MIESTŲ_FIL!G89, KAIMO_FIL!G92)</f>
        <v>143557</v>
      </c>
      <c r="H98" s="93">
        <f>SUM(VIEŠOSIOS!H97, MIESTŲ_FIL!H89, KAIMO_FIL!H92)</f>
        <v>51</v>
      </c>
      <c r="I98" s="93">
        <f>SUM(VIEŠOSIOS!I97, MIESTŲ_FIL!I89, KAIMO_FIL!I92)</f>
        <v>23</v>
      </c>
      <c r="J98" s="93">
        <f>SUM(VIEŠOSIOS!J97, MIESTŲ_FIL!J89, KAIMO_FIL!J92)</f>
        <v>23</v>
      </c>
      <c r="K98" s="660"/>
    </row>
    <row r="99" spans="1:11" x14ac:dyDescent="0.2">
      <c r="B99" s="107" t="s">
        <v>110</v>
      </c>
      <c r="C99" s="93">
        <f>SUM(VIEŠOSIOS!C98, MIESTŲ_FIL!C90, KAIMO_FIL!C93)</f>
        <v>2</v>
      </c>
      <c r="D99" s="93">
        <f>SUM(VIEŠOSIOS!D98, MIESTŲ_FIL!D90, KAIMO_FIL!D93)</f>
        <v>104405</v>
      </c>
      <c r="E99" s="93">
        <f>SUM(VIEŠOSIOS!E98, MIESTŲ_FIL!E90, KAIMO_FIL!E93)</f>
        <v>1595</v>
      </c>
      <c r="F99" s="93">
        <f>SUM(VIEŠOSIOS!F98, MIESTŲ_FIL!F90, KAIMO_FIL!F93)</f>
        <v>32412</v>
      </c>
      <c r="G99" s="95">
        <f>SUM(VIEŠOSIOS!G98, MIESTŲ_FIL!G90, KAIMO_FIL!G93)</f>
        <v>22654</v>
      </c>
      <c r="H99" s="93">
        <f>SUM(VIEŠOSIOS!H98, MIESTŲ_FIL!H90, KAIMO_FIL!H93)</f>
        <v>15</v>
      </c>
      <c r="I99" s="93">
        <f>SUM(VIEŠOSIOS!I98, MIESTŲ_FIL!I90, KAIMO_FIL!I93)</f>
        <v>2</v>
      </c>
      <c r="J99" s="81">
        <f>SUM(VIEŠOSIOS!J98, MIESTŲ_FIL!J90, KAIMO_FIL!J93)</f>
        <v>2</v>
      </c>
    </row>
    <row r="100" spans="1:11" x14ac:dyDescent="0.2">
      <c r="B100" s="107" t="s">
        <v>215</v>
      </c>
      <c r="C100" s="93">
        <f>SUM(VIEŠOSIOS!C99, MIESTŲ_FIL!C91, KAIMO_FIL!C94)</f>
        <v>17</v>
      </c>
      <c r="D100" s="93">
        <f>SUM(VIEŠOSIOS!D99, MIESTŲ_FIL!D91, KAIMO_FIL!D94)</f>
        <v>168037</v>
      </c>
      <c r="E100" s="93">
        <f>SUM(VIEŠOSIOS!E99, MIESTŲ_FIL!E91, KAIMO_FIL!E94)</f>
        <v>4824</v>
      </c>
      <c r="F100" s="93">
        <f>SUM(VIEŠOSIOS!F99, MIESTŲ_FIL!F91, KAIMO_FIL!F94)</f>
        <v>155337</v>
      </c>
      <c r="G100" s="95">
        <f>SUM(VIEŠOSIOS!G99, MIESTŲ_FIL!G91, KAIMO_FIL!G94)</f>
        <v>99494</v>
      </c>
      <c r="H100" s="93">
        <f>SUM(VIEŠOSIOS!H99, MIESTŲ_FIL!H91, KAIMO_FIL!H94)</f>
        <v>38</v>
      </c>
      <c r="I100" s="93">
        <f>SUM(VIEŠOSIOS!I99, MIESTŲ_FIL!I91, KAIMO_FIL!I94)</f>
        <v>17</v>
      </c>
      <c r="J100" s="84">
        <f>SUM(VIEŠOSIOS!J99, MIESTŲ_FIL!J91, KAIMO_FIL!J94)</f>
        <v>17</v>
      </c>
    </row>
    <row r="101" spans="1:11" x14ac:dyDescent="0.2">
      <c r="B101" s="108" t="s">
        <v>22</v>
      </c>
      <c r="C101" s="100">
        <f t="shared" ref="C101:J101" si="8">SUM(C95:C100)</f>
        <v>112</v>
      </c>
      <c r="D101" s="100">
        <f t="shared" si="8"/>
        <v>1026414</v>
      </c>
      <c r="E101" s="100">
        <f t="shared" si="8"/>
        <v>25378</v>
      </c>
      <c r="F101" s="100">
        <f t="shared" si="8"/>
        <v>746723</v>
      </c>
      <c r="G101" s="100">
        <f t="shared" si="8"/>
        <v>572239</v>
      </c>
      <c r="H101" s="100">
        <f t="shared" si="8"/>
        <v>226</v>
      </c>
      <c r="I101" s="100">
        <f>SUM(I95:I100)</f>
        <v>112</v>
      </c>
      <c r="J101" s="101">
        <f t="shared" si="8"/>
        <v>112</v>
      </c>
    </row>
    <row r="102" spans="1:11" x14ac:dyDescent="0.2">
      <c r="B102" s="109" t="s">
        <v>111</v>
      </c>
      <c r="C102" s="93"/>
      <c r="D102" s="93"/>
      <c r="E102" s="93"/>
      <c r="F102" s="93"/>
      <c r="G102" s="95"/>
      <c r="H102" s="93"/>
      <c r="I102" s="93"/>
      <c r="J102" s="80"/>
    </row>
    <row r="103" spans="1:11" x14ac:dyDescent="0.2">
      <c r="B103" s="107" t="s">
        <v>112</v>
      </c>
      <c r="C103" s="93">
        <f>SUM(VIEŠOSIOS!C102, MIESTŲ_FIL!C94, KAIMO_FIL!C97)</f>
        <v>12</v>
      </c>
      <c r="D103" s="93">
        <f>SUM(VIEŠOSIOS!D102, MIESTŲ_FIL!D94, KAIMO_FIL!D97)</f>
        <v>173417</v>
      </c>
      <c r="E103" s="93">
        <f>SUM(VIEŠOSIOS!E102, MIESTŲ_FIL!E94, KAIMO_FIL!E97)</f>
        <v>3780</v>
      </c>
      <c r="F103" s="93">
        <f>SUM(VIEŠOSIOS!F102, MIESTŲ_FIL!F94, KAIMO_FIL!F97)</f>
        <v>87392</v>
      </c>
      <c r="G103" s="95">
        <f>SUM(VIEŠOSIOS!G102, MIESTŲ_FIL!G94, KAIMO_FIL!G97)</f>
        <v>68020</v>
      </c>
      <c r="H103" s="93">
        <f>SUM(VIEŠOSIOS!H102, MIESTŲ_FIL!H94, KAIMO_FIL!H97)</f>
        <v>30</v>
      </c>
      <c r="I103" s="93">
        <f>SUM(VIEŠOSIOS!I102, MIESTŲ_FIL!I94, KAIMO_FIL!I97)</f>
        <v>12</v>
      </c>
      <c r="J103" s="81">
        <f>SUM(VIEŠOSIOS!J102, MIESTŲ_FIL!J94, KAIMO_FIL!J97)</f>
        <v>12</v>
      </c>
    </row>
    <row r="104" spans="1:11" x14ac:dyDescent="0.2">
      <c r="B104" s="107" t="s">
        <v>216</v>
      </c>
      <c r="C104" s="93">
        <f>SUM(VIEŠOSIOS!C103, MIESTŲ_FIL!C95, KAIMO_FIL!C98)</f>
        <v>25</v>
      </c>
      <c r="D104" s="93">
        <f>SUM(VIEŠOSIOS!D103, MIESTŲ_FIL!D95, KAIMO_FIL!D98)</f>
        <v>225004</v>
      </c>
      <c r="E104" s="93">
        <f>SUM(VIEŠOSIOS!E103, MIESTŲ_FIL!E95, KAIMO_FIL!E98)</f>
        <v>7155</v>
      </c>
      <c r="F104" s="93">
        <f>SUM(VIEŠOSIOS!F103, MIESTŲ_FIL!F95, KAIMO_FIL!F98)</f>
        <v>119113</v>
      </c>
      <c r="G104" s="95">
        <f>SUM(VIEŠOSIOS!G103, MIESTŲ_FIL!G95, KAIMO_FIL!G98)</f>
        <v>75109</v>
      </c>
      <c r="H104" s="93">
        <f>SUM(VIEŠOSIOS!H103, MIESTŲ_FIL!H95, KAIMO_FIL!H98)</f>
        <v>42</v>
      </c>
      <c r="I104" s="93">
        <f>SUM(VIEŠOSIOS!I103, MIESTŲ_FIL!I95, KAIMO_FIL!I98)</f>
        <v>25</v>
      </c>
      <c r="J104" s="81">
        <f>SUM(VIEŠOSIOS!J103, MIESTŲ_FIL!J95, KAIMO_FIL!J98)</f>
        <v>25</v>
      </c>
    </row>
    <row r="105" spans="1:11" x14ac:dyDescent="0.2">
      <c r="B105" s="107" t="s">
        <v>217</v>
      </c>
      <c r="C105" s="93">
        <f>SUM(VIEŠOSIOS!C104, KAIMO_FIL!C99)</f>
        <v>19</v>
      </c>
      <c r="D105" s="93">
        <f>SUM(VIEŠOSIOS!D104, KAIMO_FIL!D99)</f>
        <v>78897</v>
      </c>
      <c r="E105" s="93">
        <f>SUM(VIEŠOSIOS!E104, KAIMO_FIL!E99)</f>
        <v>2543</v>
      </c>
      <c r="F105" s="93">
        <f>SUM(VIEŠOSIOS!F104, KAIMO_FIL!F99)</f>
        <v>58973</v>
      </c>
      <c r="G105" s="95">
        <f>SUM(VIEŠOSIOS!G104, KAIMO_FIL!G99)</f>
        <v>38952</v>
      </c>
      <c r="H105" s="93">
        <f>SUM(VIEŠOSIOS!H104, KAIMO_FIL!H99)</f>
        <v>28</v>
      </c>
      <c r="I105" s="93">
        <f>SUM(VIEŠOSIOS!I104, KAIMO_FIL!I99)</f>
        <v>19</v>
      </c>
      <c r="J105" s="81">
        <f>SUM(VIEŠOSIOS!J104, KAIMO_FIL!J99)</f>
        <v>19</v>
      </c>
    </row>
    <row r="106" spans="1:11" x14ac:dyDescent="0.2">
      <c r="B106" s="107" t="s">
        <v>218</v>
      </c>
      <c r="C106" s="93">
        <f>SUM(VIEŠOSIOS!C105, MIESTŲ_FIL!C96, KAIMO_FIL!C100)</f>
        <v>16</v>
      </c>
      <c r="D106" s="93">
        <f>SUM(VIEŠOSIOS!D105, MIESTŲ_FIL!D96, KAIMO_FIL!D100)</f>
        <v>143757</v>
      </c>
      <c r="E106" s="93">
        <f>SUM(VIEŠOSIOS!E105, MIESTŲ_FIL!E96, KAIMO_FIL!E100)</f>
        <v>5334</v>
      </c>
      <c r="F106" s="93">
        <f>SUM(VIEŠOSIOS!F105, MIESTŲ_FIL!F96, KAIMO_FIL!F100)</f>
        <v>117751</v>
      </c>
      <c r="G106" s="95">
        <f>SUM(VIEŠOSIOS!G105, MIESTŲ_FIL!G96, KAIMO_FIL!G100)</f>
        <v>69502</v>
      </c>
      <c r="H106" s="93">
        <f>SUM(VIEŠOSIOS!H105, MIESTŲ_FIL!H96, KAIMO_FIL!H100)</f>
        <v>29</v>
      </c>
      <c r="I106" s="93">
        <f>SUM(VIEŠOSIOS!I105, MIESTŲ_FIL!I96, KAIMO_FIL!I100)</f>
        <v>16</v>
      </c>
      <c r="J106" s="81">
        <f>SUM(VIEŠOSIOS!J105, MIESTŲ_FIL!J96, KAIMO_FIL!J100)</f>
        <v>16</v>
      </c>
    </row>
    <row r="107" spans="1:11" x14ac:dyDescent="0.2">
      <c r="B107" s="107" t="s">
        <v>219</v>
      </c>
      <c r="C107" s="93">
        <f>SUM(VIEŠOSIOS!C106, MIESTŲ_FIL!C97, KAIMO_FIL!C101)</f>
        <v>16</v>
      </c>
      <c r="D107" s="93">
        <f>SUM(VIEŠOSIOS!D106, MIESTŲ_FIL!D97, KAIMO_FIL!D101)</f>
        <v>201952</v>
      </c>
      <c r="E107" s="93">
        <f>SUM(VIEŠOSIOS!E106, MIESTŲ_FIL!E97, KAIMO_FIL!E101)</f>
        <v>5542</v>
      </c>
      <c r="F107" s="93">
        <f>SUM(VIEŠOSIOS!F106, MIESTŲ_FIL!F97, KAIMO_FIL!F101)</f>
        <v>244793</v>
      </c>
      <c r="G107" s="95">
        <f>SUM(VIEŠOSIOS!G106, MIESTŲ_FIL!G97, KAIMO_FIL!G101)</f>
        <v>145501</v>
      </c>
      <c r="H107" s="93">
        <f>SUM(VIEŠOSIOS!H106, MIESTŲ_FIL!H97, KAIMO_FIL!H101)</f>
        <v>35</v>
      </c>
      <c r="I107" s="93">
        <f>SUM(VIEŠOSIOS!I106, MIESTŲ_FIL!I97, KAIMO_FIL!I101)</f>
        <v>16</v>
      </c>
      <c r="J107" s="81">
        <f>SUM(VIEŠOSIOS!J106, MIESTŲ_FIL!J97, KAIMO_FIL!J101)</f>
        <v>16</v>
      </c>
    </row>
    <row r="108" spans="1:11" x14ac:dyDescent="0.2">
      <c r="B108" s="107" t="s">
        <v>220</v>
      </c>
      <c r="C108" s="93">
        <f>SUM(VIEŠOSIOS!C107, KAIMO_FIL!C102)</f>
        <v>28</v>
      </c>
      <c r="D108" s="93">
        <f>SUM(VIEŠOSIOS!D107, KAIMO_FIL!D102)</f>
        <v>170736</v>
      </c>
      <c r="E108" s="93">
        <f>SUM(VIEŠOSIOS!E107, KAIMO_FIL!E102)</f>
        <v>6172</v>
      </c>
      <c r="F108" s="93">
        <f>SUM(VIEŠOSIOS!F107, KAIMO_FIL!F102)</f>
        <v>168314</v>
      </c>
      <c r="G108" s="95">
        <f>SUM(VIEŠOSIOS!G107, KAIMO_FIL!G102)</f>
        <v>174149</v>
      </c>
      <c r="H108" s="93">
        <f>SUM(VIEŠOSIOS!H107, KAIMO_FIL!H102)</f>
        <v>53</v>
      </c>
      <c r="I108" s="93">
        <f>SUM(VIEŠOSIOS!I107, KAIMO_FIL!I102)</f>
        <v>28</v>
      </c>
      <c r="J108" s="81">
        <f>SUM(VIEŠOSIOS!J107, KAIMO_FIL!J102)</f>
        <v>28</v>
      </c>
    </row>
    <row r="109" spans="1:11" x14ac:dyDescent="0.2">
      <c r="B109" s="107" t="s">
        <v>113</v>
      </c>
      <c r="C109" s="93">
        <f>SUM(VIEŠOSIOS!C108, MIESTŲ_FIL!C98, KAIMO_FIL!C103, VAIKŲ_FIL!C25)</f>
        <v>16</v>
      </c>
      <c r="D109" s="93">
        <f>SUM(VIEŠOSIOS!D108, MIESTŲ_FIL!D98, KAIMO_FIL!D103, VAIKŲ_FIL!D25)</f>
        <v>422146</v>
      </c>
      <c r="E109" s="93">
        <f>SUM(VIEŠOSIOS!E108, MIESTŲ_FIL!E98, KAIMO_FIL!E103, VAIKŲ_FIL!E25)</f>
        <v>31041</v>
      </c>
      <c r="F109" s="93">
        <f>SUM(VIEŠOSIOS!F108, MIESTŲ_FIL!F98, KAIMO_FIL!F103, VAIKŲ_FIL!F25)</f>
        <v>752150</v>
      </c>
      <c r="G109" s="95">
        <f>SUM(VIEŠOSIOS!G108, MIESTŲ_FIL!G98, KAIMO_FIL!G103, VAIKŲ_FIL!G25)</f>
        <v>660262</v>
      </c>
      <c r="H109" s="93">
        <f>SUM(VIEŠOSIOS!H108, MIESTŲ_FIL!H98, KAIMO_FIL!H103, VAIKŲ_FIL!H25)</f>
        <v>96</v>
      </c>
      <c r="I109" s="93">
        <f>SUM(VIEŠOSIOS!I108, MIESTŲ_FIL!I98, KAIMO_FIL!I103, VAIKŲ_FIL!I25)</f>
        <v>16</v>
      </c>
      <c r="J109" s="81">
        <f>SUM(VIEŠOSIOS!J108, MIESTŲ_FIL!J98, KAIMO_FIL!J103, VAIKŲ_FIL!J25)</f>
        <v>16</v>
      </c>
    </row>
    <row r="110" spans="1:11" x14ac:dyDescent="0.2">
      <c r="B110" s="107" t="s">
        <v>221</v>
      </c>
      <c r="C110" s="93">
        <f>SUM(VIEŠOSIOS!C109, MIESTŲ_FIL!C99, KAIMO_FIL!C104, VAIKŲ_FIL!C26)</f>
        <v>43</v>
      </c>
      <c r="D110" s="93">
        <f>SUM(VIEŠOSIOS!D109, MIESTŲ_FIL!D99, KAIMO_FIL!D104, VAIKŲ_FIL!D26)</f>
        <v>384310</v>
      </c>
      <c r="E110" s="93">
        <f>SUM(VIEŠOSIOS!E109, MIESTŲ_FIL!E99, KAIMO_FIL!E104, VAIKŲ_FIL!E26)</f>
        <v>7861</v>
      </c>
      <c r="F110" s="93">
        <f>SUM(VIEŠOSIOS!F109, MIESTŲ_FIL!F99, KAIMO_FIL!F104, VAIKŲ_FIL!F26)</f>
        <v>99512</v>
      </c>
      <c r="G110" s="95">
        <f>SUM(VIEŠOSIOS!G109, MIESTŲ_FIL!G99, KAIMO_FIL!G104, VAIKŲ_FIL!G26)</f>
        <v>55128</v>
      </c>
      <c r="H110" s="93">
        <f>SUM(VIEŠOSIOS!H109, MIESTŲ_FIL!H99, KAIMO_FIL!H104, VAIKŲ_FIL!H26)</f>
        <v>58</v>
      </c>
      <c r="I110" s="93">
        <f>SUM(VIEŠOSIOS!I109, MIESTŲ_FIL!I99, KAIMO_FIL!I104, VAIKŲ_FIL!I26)</f>
        <v>43</v>
      </c>
      <c r="J110" s="84">
        <f>SUM(VIEŠOSIOS!J109, MIESTŲ_FIL!J99, KAIMO_FIL!J104, VAIKŲ_FIL!J26)</f>
        <v>43</v>
      </c>
    </row>
    <row r="111" spans="1:11" x14ac:dyDescent="0.2">
      <c r="B111" s="108" t="s">
        <v>22</v>
      </c>
      <c r="C111" s="100">
        <f t="shared" ref="C111:J111" si="9">SUM(C103:C110)</f>
        <v>175</v>
      </c>
      <c r="D111" s="100">
        <f>SUM(D103:D110)</f>
        <v>1800219</v>
      </c>
      <c r="E111" s="100">
        <f t="shared" si="9"/>
        <v>69428</v>
      </c>
      <c r="F111" s="100">
        <f t="shared" si="9"/>
        <v>1647998</v>
      </c>
      <c r="G111" s="100">
        <f>SUM(G103:G110)</f>
        <v>1286623</v>
      </c>
      <c r="H111" s="100">
        <f t="shared" si="9"/>
        <v>371</v>
      </c>
      <c r="I111" s="100">
        <f>SUM(I103:I110)</f>
        <v>175</v>
      </c>
      <c r="J111" s="101">
        <f t="shared" si="9"/>
        <v>175</v>
      </c>
    </row>
    <row r="112" spans="1:11" x14ac:dyDescent="0.2">
      <c r="A112" s="82"/>
      <c r="B112" s="147" t="s">
        <v>115</v>
      </c>
      <c r="C112" s="148">
        <f t="shared" ref="C112:J112" si="10">SUM(C111,C101,C93,C87,C81,C53,C45,C38,C29,C19)</f>
        <v>1183</v>
      </c>
      <c r="D112" s="148">
        <f t="shared" si="10"/>
        <v>11306006</v>
      </c>
      <c r="E112" s="148">
        <f t="shared" si="10"/>
        <v>386164</v>
      </c>
      <c r="F112" s="149">
        <f t="shared" si="10"/>
        <v>9907883</v>
      </c>
      <c r="G112" s="148">
        <f t="shared" si="10"/>
        <v>7298602</v>
      </c>
      <c r="H112" s="148">
        <f t="shared" si="10"/>
        <v>2379</v>
      </c>
      <c r="I112" s="148">
        <f t="shared" si="10"/>
        <v>1183</v>
      </c>
      <c r="J112" s="149">
        <f t="shared" si="10"/>
        <v>1183</v>
      </c>
    </row>
    <row r="113" spans="1:10" x14ac:dyDescent="0.2">
      <c r="A113" s="82"/>
      <c r="B113" s="110" t="s">
        <v>280</v>
      </c>
      <c r="C113" s="111">
        <v>1200</v>
      </c>
      <c r="D113" s="111">
        <v>11550358</v>
      </c>
      <c r="E113" s="111">
        <v>423793</v>
      </c>
      <c r="F113" s="112">
        <v>9172025</v>
      </c>
      <c r="G113" s="111">
        <v>6358775</v>
      </c>
      <c r="H113" s="111">
        <v>2376</v>
      </c>
      <c r="I113" s="111">
        <v>1200</v>
      </c>
      <c r="J113" s="112">
        <v>1200</v>
      </c>
    </row>
    <row r="114" spans="1:10" x14ac:dyDescent="0.2">
      <c r="A114" s="82"/>
      <c r="B114" s="113" t="s">
        <v>116</v>
      </c>
      <c r="C114" s="114">
        <f xml:space="preserve"> C112-C113</f>
        <v>-17</v>
      </c>
      <c r="D114" s="114">
        <f t="shared" ref="D114:J114" si="11">D112-D113</f>
        <v>-244352</v>
      </c>
      <c r="E114" s="114">
        <f t="shared" si="11"/>
        <v>-37629</v>
      </c>
      <c r="F114" s="115">
        <f t="shared" si="11"/>
        <v>735858</v>
      </c>
      <c r="G114" s="114">
        <f t="shared" si="11"/>
        <v>939827</v>
      </c>
      <c r="H114" s="114">
        <f t="shared" si="11"/>
        <v>3</v>
      </c>
      <c r="I114" s="114">
        <f t="shared" si="11"/>
        <v>-17</v>
      </c>
      <c r="J114" s="114">
        <f t="shared" si="11"/>
        <v>-17</v>
      </c>
    </row>
    <row r="115" spans="1:10" x14ac:dyDescent="0.2">
      <c r="F115" s="82"/>
      <c r="G115" s="663"/>
    </row>
    <row r="116" spans="1:10" x14ac:dyDescent="0.2">
      <c r="F116" s="82"/>
    </row>
  </sheetData>
  <mergeCells count="19">
    <mergeCell ref="C3:I3"/>
    <mergeCell ref="C5:I5"/>
    <mergeCell ref="C7:I7"/>
    <mergeCell ref="B9:B11"/>
    <mergeCell ref="C9:C11"/>
    <mergeCell ref="D9:D11"/>
    <mergeCell ref="E9:E11"/>
    <mergeCell ref="F9:F11"/>
    <mergeCell ref="G9:G11"/>
    <mergeCell ref="H9:H11"/>
    <mergeCell ref="I9:J10"/>
    <mergeCell ref="G69:G71"/>
    <mergeCell ref="H69:H71"/>
    <mergeCell ref="I69:J70"/>
    <mergeCell ref="B69:B71"/>
    <mergeCell ref="C69:C71"/>
    <mergeCell ref="D69:D71"/>
    <mergeCell ref="E69:E71"/>
    <mergeCell ref="F69:F71"/>
  </mergeCells>
  <pageMargins left="0.75" right="0.75" top="1" bottom="1" header="0.5" footer="0.5"/>
  <pageSetup paperSize="9" scale="81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0"/>
  <sheetViews>
    <sheetView zoomScale="120" zoomScaleNormal="120" workbookViewId="0">
      <selection activeCell="F119" sqref="F119"/>
    </sheetView>
  </sheetViews>
  <sheetFormatPr defaultColWidth="9.140625" defaultRowHeight="12.75" x14ac:dyDescent="0.2"/>
  <cols>
    <col min="1" max="1" width="3.28515625" style="72" customWidth="1"/>
    <col min="2" max="2" width="15.42578125" style="72" customWidth="1"/>
    <col min="3" max="6" width="9.140625" style="72"/>
    <col min="7" max="7" width="10.5703125" style="72" customWidth="1"/>
    <col min="8" max="8" width="11.42578125" style="72" customWidth="1"/>
    <col min="9" max="16384" width="9.140625" style="72"/>
  </cols>
  <sheetData>
    <row r="1" spans="1:10" x14ac:dyDescent="0.2">
      <c r="A1" s="98"/>
      <c r="B1" s="98"/>
      <c r="C1" s="98"/>
      <c r="D1" s="98"/>
      <c r="E1" s="98"/>
      <c r="F1" s="98"/>
      <c r="G1" s="98"/>
      <c r="H1" s="116"/>
      <c r="I1" s="117"/>
    </row>
    <row r="2" spans="1:10" ht="18.75" customHeight="1" x14ac:dyDescent="0.25">
      <c r="A2" s="98"/>
      <c r="C2" s="939" t="s">
        <v>117</v>
      </c>
      <c r="D2" s="939"/>
      <c r="E2" s="939"/>
      <c r="F2" s="939"/>
      <c r="G2" s="939"/>
      <c r="H2" s="939"/>
      <c r="I2" s="939"/>
    </row>
    <row r="3" spans="1:10" x14ac:dyDescent="0.2">
      <c r="A3" s="98"/>
      <c r="D3" s="118"/>
      <c r="E3" s="118"/>
      <c r="F3" s="118"/>
      <c r="G3" s="118"/>
      <c r="H3" s="98"/>
      <c r="I3" s="98"/>
    </row>
    <row r="4" spans="1:10" ht="15" customHeight="1" x14ac:dyDescent="0.2">
      <c r="A4" s="119"/>
      <c r="C4" s="937" t="s">
        <v>65</v>
      </c>
      <c r="D4" s="937"/>
      <c r="E4" s="937"/>
      <c r="F4" s="937"/>
      <c r="G4" s="937"/>
      <c r="H4" s="937"/>
      <c r="I4" s="937"/>
    </row>
    <row r="5" spans="1:10" x14ac:dyDescent="0.2">
      <c r="A5" s="120"/>
      <c r="D5" s="118"/>
      <c r="E5" s="118"/>
      <c r="F5" s="118"/>
      <c r="G5" s="118"/>
      <c r="H5" s="82"/>
      <c r="I5" s="82"/>
    </row>
    <row r="6" spans="1:10" ht="15" x14ac:dyDescent="0.2">
      <c r="A6" s="92"/>
      <c r="C6" s="675"/>
      <c r="D6" s="675"/>
      <c r="E6" s="675"/>
      <c r="F6" s="675"/>
      <c r="G6" s="675"/>
      <c r="I6" s="940" t="s">
        <v>283</v>
      </c>
      <c r="J6" s="940"/>
    </row>
    <row r="7" spans="1:10" ht="6" customHeight="1" x14ac:dyDescent="0.2">
      <c r="A7" s="92"/>
      <c r="B7" s="98"/>
      <c r="C7" s="98"/>
      <c r="D7" s="98"/>
      <c r="E7" s="98"/>
      <c r="F7" s="98"/>
      <c r="G7" s="98"/>
      <c r="H7" s="98"/>
      <c r="I7" s="98"/>
    </row>
    <row r="8" spans="1:10" x14ac:dyDescent="0.2">
      <c r="A8" s="92"/>
      <c r="B8" s="929" t="s">
        <v>84</v>
      </c>
      <c r="C8" s="929" t="s">
        <v>85</v>
      </c>
      <c r="D8" s="929" t="s">
        <v>67</v>
      </c>
      <c r="E8" s="929" t="s">
        <v>68</v>
      </c>
      <c r="F8" s="929" t="s">
        <v>69</v>
      </c>
      <c r="G8" s="929" t="s">
        <v>70</v>
      </c>
      <c r="H8" s="929" t="s">
        <v>222</v>
      </c>
      <c r="I8" s="932" t="s">
        <v>223</v>
      </c>
      <c r="J8" s="933"/>
    </row>
    <row r="9" spans="1:10" x14ac:dyDescent="0.2">
      <c r="A9" s="92"/>
      <c r="B9" s="930"/>
      <c r="C9" s="930"/>
      <c r="D9" s="930"/>
      <c r="E9" s="930"/>
      <c r="F9" s="930"/>
      <c r="G9" s="930"/>
      <c r="H9" s="930"/>
      <c r="I9" s="934"/>
      <c r="J9" s="935"/>
    </row>
    <row r="10" spans="1:10" ht="25.5" customHeight="1" x14ac:dyDescent="0.2">
      <c r="A10" s="92"/>
      <c r="B10" s="931"/>
      <c r="C10" s="931"/>
      <c r="D10" s="931"/>
      <c r="E10" s="931"/>
      <c r="F10" s="931"/>
      <c r="G10" s="931"/>
      <c r="H10" s="931"/>
      <c r="I10" s="88" t="s">
        <v>73</v>
      </c>
      <c r="J10" s="89" t="s">
        <v>86</v>
      </c>
    </row>
    <row r="11" spans="1:10" x14ac:dyDescent="0.2">
      <c r="B11" s="90">
        <v>1</v>
      </c>
      <c r="C11" s="90">
        <v>2</v>
      </c>
      <c r="D11" s="90">
        <v>3</v>
      </c>
      <c r="E11" s="90">
        <v>4</v>
      </c>
      <c r="F11" s="90">
        <v>5</v>
      </c>
      <c r="G11" s="90">
        <v>6</v>
      </c>
      <c r="H11" s="90">
        <v>7</v>
      </c>
      <c r="I11" s="90">
        <v>8</v>
      </c>
      <c r="J11" s="106">
        <v>9</v>
      </c>
    </row>
    <row r="12" spans="1:10" x14ac:dyDescent="0.2">
      <c r="A12" s="121"/>
      <c r="B12" s="91" t="s">
        <v>87</v>
      </c>
      <c r="J12" s="87"/>
    </row>
    <row r="13" spans="1:10" x14ac:dyDescent="0.2">
      <c r="A13" s="121"/>
      <c r="B13" s="92" t="s">
        <v>88</v>
      </c>
      <c r="C13" s="93">
        <v>1</v>
      </c>
      <c r="D13" s="601">
        <v>90294</v>
      </c>
      <c r="E13" s="601">
        <v>3312</v>
      </c>
      <c r="F13" s="601">
        <v>90752</v>
      </c>
      <c r="G13" s="601">
        <v>58368</v>
      </c>
      <c r="H13" s="93">
        <v>21</v>
      </c>
      <c r="I13" s="93">
        <v>1</v>
      </c>
      <c r="J13" s="81">
        <v>1</v>
      </c>
    </row>
    <row r="14" spans="1:10" x14ac:dyDescent="0.2">
      <c r="A14" s="122"/>
      <c r="B14" s="94" t="s">
        <v>179</v>
      </c>
      <c r="C14" s="93">
        <v>1</v>
      </c>
      <c r="D14" s="601">
        <v>74934</v>
      </c>
      <c r="E14" s="601">
        <v>1512</v>
      </c>
      <c r="F14" s="601">
        <v>40729</v>
      </c>
      <c r="G14" s="601">
        <v>9699</v>
      </c>
      <c r="H14" s="93">
        <v>7</v>
      </c>
      <c r="I14" s="93">
        <v>1</v>
      </c>
      <c r="J14" s="81">
        <v>1</v>
      </c>
    </row>
    <row r="15" spans="1:10" x14ac:dyDescent="0.2">
      <c r="A15" s="121"/>
      <c r="B15" s="94" t="s">
        <v>89</v>
      </c>
      <c r="C15" s="93">
        <v>1</v>
      </c>
      <c r="D15" s="601">
        <v>122157</v>
      </c>
      <c r="E15" s="601">
        <v>4338</v>
      </c>
      <c r="F15" s="601">
        <v>69046</v>
      </c>
      <c r="G15" s="601">
        <v>49487</v>
      </c>
      <c r="H15" s="93">
        <v>14</v>
      </c>
      <c r="I15" s="93">
        <v>1</v>
      </c>
      <c r="J15" s="81">
        <v>1</v>
      </c>
    </row>
    <row r="16" spans="1:10" x14ac:dyDescent="0.2">
      <c r="A16" s="121"/>
      <c r="B16" s="94" t="s">
        <v>180</v>
      </c>
      <c r="C16" s="93">
        <v>1</v>
      </c>
      <c r="D16" s="601">
        <v>51013</v>
      </c>
      <c r="E16" s="601">
        <v>1238</v>
      </c>
      <c r="F16" s="601">
        <v>26372</v>
      </c>
      <c r="G16" s="601">
        <v>51670</v>
      </c>
      <c r="H16" s="93">
        <v>10</v>
      </c>
      <c r="I16" s="93">
        <v>1</v>
      </c>
      <c r="J16" s="81">
        <v>1</v>
      </c>
    </row>
    <row r="17" spans="1:10" x14ac:dyDescent="0.2">
      <c r="A17" s="121"/>
      <c r="B17" s="123" t="s">
        <v>181</v>
      </c>
      <c r="C17" s="93">
        <v>1</v>
      </c>
      <c r="D17" s="601">
        <v>63310</v>
      </c>
      <c r="E17" s="601">
        <v>2078</v>
      </c>
      <c r="F17" s="601">
        <v>62307</v>
      </c>
      <c r="G17" s="601">
        <v>50987</v>
      </c>
      <c r="H17" s="98">
        <v>22</v>
      </c>
      <c r="I17" s="98">
        <v>1</v>
      </c>
      <c r="J17" s="81">
        <v>1</v>
      </c>
    </row>
    <row r="18" spans="1:10" x14ac:dyDescent="0.2">
      <c r="A18" s="92"/>
      <c r="B18" s="99" t="s">
        <v>22</v>
      </c>
      <c r="C18" s="100">
        <f t="shared" ref="C18:J18" si="0">SUM(C13:C17)</f>
        <v>5</v>
      </c>
      <c r="D18" s="100">
        <f t="shared" si="0"/>
        <v>401708</v>
      </c>
      <c r="E18" s="100">
        <f t="shared" si="0"/>
        <v>12478</v>
      </c>
      <c r="F18" s="100">
        <f t="shared" si="0"/>
        <v>289206</v>
      </c>
      <c r="G18" s="100">
        <f>SUM(G12:G17)</f>
        <v>220211</v>
      </c>
      <c r="H18" s="100">
        <f>SUM(H12:H17)</f>
        <v>74</v>
      </c>
      <c r="I18" s="100">
        <f t="shared" si="0"/>
        <v>5</v>
      </c>
      <c r="J18" s="101">
        <f t="shared" si="0"/>
        <v>5</v>
      </c>
    </row>
    <row r="19" spans="1:10" x14ac:dyDescent="0.2">
      <c r="A19" s="121"/>
      <c r="B19" s="102" t="s">
        <v>90</v>
      </c>
      <c r="J19" s="87"/>
    </row>
    <row r="20" spans="1:10" x14ac:dyDescent="0.2">
      <c r="A20" s="122"/>
      <c r="B20" s="103" t="s">
        <v>91</v>
      </c>
      <c r="C20" s="97">
        <v>1</v>
      </c>
      <c r="D20" s="601">
        <v>59968</v>
      </c>
      <c r="E20" s="601">
        <v>1221</v>
      </c>
      <c r="F20" s="601">
        <v>22724</v>
      </c>
      <c r="G20" s="601">
        <v>23190</v>
      </c>
      <c r="H20" s="97">
        <v>10</v>
      </c>
      <c r="I20" s="97">
        <v>1</v>
      </c>
      <c r="J20" s="81">
        <v>1</v>
      </c>
    </row>
    <row r="21" spans="1:10" x14ac:dyDescent="0.2">
      <c r="A21" s="121"/>
      <c r="B21" s="103" t="s">
        <v>182</v>
      </c>
      <c r="C21" s="97">
        <v>1</v>
      </c>
      <c r="D21" s="601">
        <v>55038</v>
      </c>
      <c r="E21" s="601">
        <v>4551</v>
      </c>
      <c r="F21" s="601">
        <v>88688</v>
      </c>
      <c r="G21" s="601">
        <v>48642</v>
      </c>
      <c r="H21" s="97">
        <v>18</v>
      </c>
      <c r="I21" s="97">
        <v>1</v>
      </c>
      <c r="J21" s="81">
        <v>1</v>
      </c>
    </row>
    <row r="22" spans="1:10" x14ac:dyDescent="0.2">
      <c r="A22" s="121"/>
      <c r="B22" s="103" t="s">
        <v>183</v>
      </c>
      <c r="C22" s="97">
        <v>1</v>
      </c>
      <c r="D22" s="601">
        <v>57218</v>
      </c>
      <c r="E22" s="601">
        <v>1967</v>
      </c>
      <c r="F22" s="601">
        <v>27419</v>
      </c>
      <c r="G22" s="601">
        <v>17815</v>
      </c>
      <c r="H22" s="97">
        <v>16</v>
      </c>
      <c r="I22" s="97">
        <v>1</v>
      </c>
      <c r="J22" s="81">
        <v>1</v>
      </c>
    </row>
    <row r="23" spans="1:10" x14ac:dyDescent="0.2">
      <c r="A23" s="121"/>
      <c r="B23" s="103" t="s">
        <v>92</v>
      </c>
      <c r="C23" s="97">
        <v>1</v>
      </c>
      <c r="D23" s="601">
        <v>63922</v>
      </c>
      <c r="E23" s="601">
        <v>26286</v>
      </c>
      <c r="F23" s="601">
        <v>99981</v>
      </c>
      <c r="G23" s="601">
        <v>90777</v>
      </c>
      <c r="H23" s="97">
        <v>27</v>
      </c>
      <c r="I23" s="97">
        <v>1</v>
      </c>
      <c r="J23" s="81">
        <v>1</v>
      </c>
    </row>
    <row r="24" spans="1:10" x14ac:dyDescent="0.2">
      <c r="A24" s="121"/>
      <c r="B24" s="103" t="s">
        <v>184</v>
      </c>
      <c r="C24" s="97">
        <v>1</v>
      </c>
      <c r="D24" s="601">
        <v>67363</v>
      </c>
      <c r="E24" s="601">
        <v>2741</v>
      </c>
      <c r="F24" s="601">
        <v>59330</v>
      </c>
      <c r="G24" s="601">
        <v>64042</v>
      </c>
      <c r="H24" s="97">
        <v>16</v>
      </c>
      <c r="I24" s="97">
        <v>1</v>
      </c>
      <c r="J24" s="81">
        <v>1</v>
      </c>
    </row>
    <row r="25" spans="1:10" x14ac:dyDescent="0.2">
      <c r="A25" s="121"/>
      <c r="B25" s="103" t="s">
        <v>185</v>
      </c>
      <c r="C25" s="97">
        <v>1</v>
      </c>
      <c r="D25" s="601">
        <v>81877</v>
      </c>
      <c r="E25" s="601">
        <v>2500</v>
      </c>
      <c r="F25" s="601">
        <v>88660</v>
      </c>
      <c r="G25" s="601">
        <v>43076</v>
      </c>
      <c r="H25" s="97">
        <v>21</v>
      </c>
      <c r="I25" s="97">
        <v>1</v>
      </c>
      <c r="J25" s="81">
        <v>1</v>
      </c>
    </row>
    <row r="26" spans="1:10" x14ac:dyDescent="0.2">
      <c r="A26" s="122"/>
      <c r="B26" s="103" t="s">
        <v>186</v>
      </c>
      <c r="C26" s="97">
        <v>1</v>
      </c>
      <c r="D26" s="601">
        <v>43475</v>
      </c>
      <c r="E26" s="601">
        <v>4045</v>
      </c>
      <c r="F26" s="601">
        <v>31860</v>
      </c>
      <c r="G26" s="601">
        <v>20544</v>
      </c>
      <c r="H26" s="97">
        <v>19</v>
      </c>
      <c r="I26" s="97">
        <v>1</v>
      </c>
      <c r="J26" s="81">
        <v>1</v>
      </c>
    </row>
    <row r="27" spans="1:10" x14ac:dyDescent="0.2">
      <c r="A27" s="92"/>
      <c r="B27" s="104" t="s">
        <v>187</v>
      </c>
      <c r="C27" s="98">
        <v>1</v>
      </c>
      <c r="D27" s="601">
        <v>77204</v>
      </c>
      <c r="E27" s="601">
        <v>2620</v>
      </c>
      <c r="F27" s="601">
        <v>69827</v>
      </c>
      <c r="G27" s="601">
        <v>33448</v>
      </c>
      <c r="H27" s="98">
        <v>16</v>
      </c>
      <c r="I27" s="98">
        <v>1</v>
      </c>
      <c r="J27" s="81">
        <v>1</v>
      </c>
    </row>
    <row r="28" spans="1:10" x14ac:dyDescent="0.2">
      <c r="A28" s="92"/>
      <c r="B28" s="99" t="s">
        <v>22</v>
      </c>
      <c r="C28" s="100">
        <f t="shared" ref="C28:J28" si="1">SUM(C20:C27)</f>
        <v>8</v>
      </c>
      <c r="D28" s="100">
        <f>SUM(D20:D27)</f>
        <v>506065</v>
      </c>
      <c r="E28" s="100">
        <f t="shared" si="1"/>
        <v>45931</v>
      </c>
      <c r="F28" s="100">
        <f t="shared" si="1"/>
        <v>488489</v>
      </c>
      <c r="G28" s="100">
        <f>SUM(G19:G27)</f>
        <v>341534</v>
      </c>
      <c r="H28" s="100">
        <f>SUM(H20:H27)</f>
        <v>143</v>
      </c>
      <c r="I28" s="100">
        <f t="shared" si="1"/>
        <v>8</v>
      </c>
      <c r="J28" s="101">
        <f t="shared" si="1"/>
        <v>8</v>
      </c>
    </row>
    <row r="29" spans="1:10" x14ac:dyDescent="0.2">
      <c r="A29" s="92"/>
      <c r="B29" s="105" t="s">
        <v>93</v>
      </c>
      <c r="J29" s="87"/>
    </row>
    <row r="30" spans="1:10" x14ac:dyDescent="0.2">
      <c r="A30" s="92"/>
      <c r="B30" s="104" t="s">
        <v>94</v>
      </c>
      <c r="C30" s="93">
        <v>1</v>
      </c>
      <c r="D30" s="601">
        <v>94374</v>
      </c>
      <c r="E30" s="601">
        <v>3548</v>
      </c>
      <c r="F30" s="601">
        <v>169375</v>
      </c>
      <c r="G30" s="601">
        <v>96667</v>
      </c>
      <c r="H30" s="93">
        <v>28</v>
      </c>
      <c r="I30" s="93">
        <v>1</v>
      </c>
      <c r="J30" s="81">
        <v>1</v>
      </c>
    </row>
    <row r="31" spans="1:10" x14ac:dyDescent="0.2">
      <c r="A31" s="92"/>
      <c r="B31" s="104" t="s">
        <v>188</v>
      </c>
      <c r="C31" s="93">
        <v>1</v>
      </c>
      <c r="D31" s="93">
        <v>57996</v>
      </c>
      <c r="E31" s="601">
        <v>2880</v>
      </c>
      <c r="F31" s="601">
        <v>31417</v>
      </c>
      <c r="G31" s="676">
        <v>34864</v>
      </c>
      <c r="H31" s="93">
        <v>21</v>
      </c>
      <c r="I31" s="93">
        <v>1</v>
      </c>
      <c r="J31" s="81">
        <v>1</v>
      </c>
    </row>
    <row r="32" spans="1:10" x14ac:dyDescent="0.2">
      <c r="A32" s="92"/>
      <c r="B32" s="104" t="s">
        <v>189</v>
      </c>
      <c r="C32" s="93">
        <v>1</v>
      </c>
      <c r="D32" s="601">
        <v>62188</v>
      </c>
      <c r="E32" s="601">
        <v>3571</v>
      </c>
      <c r="F32" s="601">
        <v>48357</v>
      </c>
      <c r="G32" s="601">
        <v>119647</v>
      </c>
      <c r="H32" s="93">
        <v>20</v>
      </c>
      <c r="I32" s="93">
        <v>1</v>
      </c>
      <c r="J32" s="81">
        <v>1</v>
      </c>
    </row>
    <row r="33" spans="1:10" x14ac:dyDescent="0.2">
      <c r="A33" s="92"/>
      <c r="B33" s="104" t="s">
        <v>95</v>
      </c>
      <c r="C33" s="93">
        <v>1</v>
      </c>
      <c r="D33" s="601">
        <v>41045</v>
      </c>
      <c r="E33" s="601">
        <v>738</v>
      </c>
      <c r="F33" s="601">
        <v>7386</v>
      </c>
      <c r="G33" s="601">
        <v>6660</v>
      </c>
      <c r="H33" s="93">
        <v>6</v>
      </c>
      <c r="I33" s="93">
        <v>1</v>
      </c>
      <c r="J33" s="81">
        <v>1</v>
      </c>
    </row>
    <row r="34" spans="1:10" x14ac:dyDescent="0.2">
      <c r="A34" s="124"/>
      <c r="B34" s="104" t="s">
        <v>96</v>
      </c>
      <c r="C34" s="93">
        <v>1</v>
      </c>
      <c r="D34" s="601">
        <v>74051</v>
      </c>
      <c r="E34" s="601">
        <v>4968</v>
      </c>
      <c r="F34" s="601">
        <v>124450</v>
      </c>
      <c r="G34" s="601">
        <v>70282</v>
      </c>
      <c r="H34" s="93">
        <v>22</v>
      </c>
      <c r="I34" s="93">
        <v>1</v>
      </c>
      <c r="J34" s="81">
        <v>1</v>
      </c>
    </row>
    <row r="35" spans="1:10" x14ac:dyDescent="0.2">
      <c r="A35" s="92"/>
      <c r="B35" s="104" t="s">
        <v>190</v>
      </c>
      <c r="C35" s="93">
        <v>1</v>
      </c>
      <c r="D35" s="601">
        <v>52592</v>
      </c>
      <c r="E35" s="601">
        <v>876</v>
      </c>
      <c r="F35" s="601">
        <v>30647</v>
      </c>
      <c r="G35" s="601">
        <v>20687</v>
      </c>
      <c r="H35" s="93">
        <v>16</v>
      </c>
      <c r="I35" s="93">
        <v>1</v>
      </c>
      <c r="J35" s="81">
        <v>1</v>
      </c>
    </row>
    <row r="36" spans="1:10" x14ac:dyDescent="0.2">
      <c r="A36" s="92"/>
      <c r="B36" s="104" t="s">
        <v>191</v>
      </c>
      <c r="C36" s="98">
        <v>1</v>
      </c>
      <c r="D36" s="601">
        <v>64346</v>
      </c>
      <c r="E36" s="601">
        <v>1642</v>
      </c>
      <c r="F36" s="601">
        <v>39870</v>
      </c>
      <c r="G36" s="601">
        <v>45671</v>
      </c>
      <c r="H36" s="98">
        <v>24</v>
      </c>
      <c r="I36" s="98">
        <v>1</v>
      </c>
      <c r="J36" s="81">
        <v>1</v>
      </c>
    </row>
    <row r="37" spans="1:10" x14ac:dyDescent="0.2">
      <c r="A37" s="92"/>
      <c r="B37" s="99" t="s">
        <v>22</v>
      </c>
      <c r="C37" s="101">
        <f t="shared" ref="C37:J37" si="2">SUM(C30:C36)</f>
        <v>7</v>
      </c>
      <c r="D37" s="100">
        <f t="shared" si="2"/>
        <v>446592</v>
      </c>
      <c r="E37" s="100">
        <f t="shared" si="2"/>
        <v>18223</v>
      </c>
      <c r="F37" s="100">
        <f t="shared" si="2"/>
        <v>451502</v>
      </c>
      <c r="G37" s="100">
        <f>SUM(G30:G36)</f>
        <v>394478</v>
      </c>
      <c r="H37" s="100">
        <f>SUM(H29:H36)</f>
        <v>137</v>
      </c>
      <c r="I37" s="100">
        <f t="shared" si="2"/>
        <v>7</v>
      </c>
      <c r="J37" s="101">
        <f t="shared" si="2"/>
        <v>7</v>
      </c>
    </row>
    <row r="38" spans="1:10" x14ac:dyDescent="0.2">
      <c r="A38" s="92"/>
      <c r="B38" s="105" t="s">
        <v>97</v>
      </c>
      <c r="C38" s="82"/>
      <c r="D38" s="82"/>
      <c r="E38" s="82"/>
      <c r="J38" s="87"/>
    </row>
    <row r="39" spans="1:10" x14ac:dyDescent="0.2">
      <c r="A39" s="92"/>
      <c r="B39" s="104" t="s">
        <v>98</v>
      </c>
      <c r="C39" s="97">
        <v>1</v>
      </c>
      <c r="D39" s="601">
        <v>24939</v>
      </c>
      <c r="E39" s="601">
        <v>1776</v>
      </c>
      <c r="F39" s="601">
        <v>40061</v>
      </c>
      <c r="G39" s="601">
        <v>40054</v>
      </c>
      <c r="H39" s="97">
        <v>9</v>
      </c>
      <c r="I39" s="97">
        <v>1</v>
      </c>
      <c r="J39" s="81">
        <v>1</v>
      </c>
    </row>
    <row r="40" spans="1:10" x14ac:dyDescent="0.2">
      <c r="A40" s="92"/>
      <c r="B40" s="104" t="s">
        <v>99</v>
      </c>
      <c r="C40" s="97">
        <v>1</v>
      </c>
      <c r="D40" s="601">
        <v>23590</v>
      </c>
      <c r="E40" s="601">
        <v>839</v>
      </c>
      <c r="F40" s="601">
        <v>18046</v>
      </c>
      <c r="G40" s="601">
        <v>14328</v>
      </c>
      <c r="H40" s="97">
        <v>8</v>
      </c>
      <c r="I40" s="97">
        <v>1</v>
      </c>
      <c r="J40" s="81">
        <v>1</v>
      </c>
    </row>
    <row r="41" spans="1:10" x14ac:dyDescent="0.2">
      <c r="A41" s="92"/>
      <c r="B41" s="104" t="s">
        <v>100</v>
      </c>
      <c r="C41" s="97">
        <v>1</v>
      </c>
      <c r="D41" s="601">
        <v>56762</v>
      </c>
      <c r="E41" s="601">
        <v>2850</v>
      </c>
      <c r="F41" s="601">
        <v>53783</v>
      </c>
      <c r="G41" s="601">
        <v>66839</v>
      </c>
      <c r="H41" s="97">
        <v>19</v>
      </c>
      <c r="I41" s="97">
        <v>1</v>
      </c>
      <c r="J41" s="81">
        <v>1</v>
      </c>
    </row>
    <row r="42" spans="1:10" x14ac:dyDescent="0.2">
      <c r="A42" s="92"/>
      <c r="B42" s="104" t="s">
        <v>192</v>
      </c>
      <c r="C42" s="97">
        <v>1</v>
      </c>
      <c r="D42" s="601">
        <v>54564</v>
      </c>
      <c r="E42" s="601">
        <v>5450</v>
      </c>
      <c r="F42" s="601">
        <v>60463</v>
      </c>
      <c r="G42" s="601">
        <v>54913</v>
      </c>
      <c r="H42" s="97">
        <v>13</v>
      </c>
      <c r="I42" s="97">
        <v>1</v>
      </c>
      <c r="J42" s="81">
        <v>1</v>
      </c>
    </row>
    <row r="43" spans="1:10" x14ac:dyDescent="0.2">
      <c r="A43" s="92"/>
      <c r="B43" s="104" t="s">
        <v>193</v>
      </c>
      <c r="C43" s="98">
        <v>1</v>
      </c>
      <c r="D43" s="601">
        <v>48705</v>
      </c>
      <c r="E43" s="601">
        <v>1841</v>
      </c>
      <c r="F43" s="601">
        <v>27645</v>
      </c>
      <c r="G43" s="601">
        <v>21174</v>
      </c>
      <c r="H43" s="98">
        <v>20</v>
      </c>
      <c r="I43" s="98">
        <v>1</v>
      </c>
      <c r="J43" s="81">
        <v>1</v>
      </c>
    </row>
    <row r="44" spans="1:10" x14ac:dyDescent="0.2">
      <c r="A44" s="120"/>
      <c r="B44" s="99" t="s">
        <v>22</v>
      </c>
      <c r="C44" s="101">
        <f t="shared" ref="C44:J44" si="3">SUM(C39:C43)</f>
        <v>5</v>
      </c>
      <c r="D44" s="101">
        <f t="shared" si="3"/>
        <v>208560</v>
      </c>
      <c r="E44" s="101">
        <f t="shared" si="3"/>
        <v>12756</v>
      </c>
      <c r="F44" s="101">
        <f t="shared" si="3"/>
        <v>199998</v>
      </c>
      <c r="G44" s="101">
        <f>SUM(G38:G43)</f>
        <v>197308</v>
      </c>
      <c r="H44" s="101">
        <f>SUM(H38:H43)</f>
        <v>69</v>
      </c>
      <c r="I44" s="101">
        <f t="shared" si="3"/>
        <v>5</v>
      </c>
      <c r="J44" s="101">
        <f t="shared" si="3"/>
        <v>5</v>
      </c>
    </row>
    <row r="45" spans="1:10" x14ac:dyDescent="0.2">
      <c r="A45" s="120"/>
      <c r="B45" s="105" t="s">
        <v>101</v>
      </c>
      <c r="J45" s="81"/>
    </row>
    <row r="46" spans="1:10" x14ac:dyDescent="0.2">
      <c r="A46" s="120"/>
      <c r="B46" s="104" t="s">
        <v>194</v>
      </c>
      <c r="C46" s="97">
        <v>1</v>
      </c>
      <c r="D46" s="601">
        <v>60770</v>
      </c>
      <c r="E46" s="601">
        <v>1380</v>
      </c>
      <c r="F46" s="601">
        <v>32870</v>
      </c>
      <c r="G46" s="601">
        <v>41838</v>
      </c>
      <c r="H46" s="97">
        <v>26</v>
      </c>
      <c r="I46" s="97">
        <v>1</v>
      </c>
      <c r="J46" s="81">
        <v>1</v>
      </c>
    </row>
    <row r="47" spans="1:10" x14ac:dyDescent="0.2">
      <c r="A47" s="82"/>
      <c r="B47" s="104" t="s">
        <v>195</v>
      </c>
      <c r="C47" s="97">
        <v>1</v>
      </c>
      <c r="D47" s="601">
        <v>49696</v>
      </c>
      <c r="E47" s="601">
        <v>1189</v>
      </c>
      <c r="F47" s="601">
        <v>48819</v>
      </c>
      <c r="G47" s="601">
        <v>19599</v>
      </c>
      <c r="H47" s="97">
        <v>20</v>
      </c>
      <c r="I47" s="97">
        <v>1</v>
      </c>
      <c r="J47" s="81">
        <v>1</v>
      </c>
    </row>
    <row r="48" spans="1:10" x14ac:dyDescent="0.2">
      <c r="A48" s="82"/>
      <c r="B48" s="104" t="s">
        <v>102</v>
      </c>
      <c r="C48" s="97">
        <v>1</v>
      </c>
      <c r="D48" s="601">
        <v>38268</v>
      </c>
      <c r="E48" s="601">
        <v>3311</v>
      </c>
      <c r="F48" s="601">
        <v>83277</v>
      </c>
      <c r="G48" s="601">
        <v>61820</v>
      </c>
      <c r="H48" s="97">
        <v>19</v>
      </c>
      <c r="I48" s="97">
        <v>1</v>
      </c>
      <c r="J48" s="81">
        <v>1</v>
      </c>
    </row>
    <row r="49" spans="1:10" x14ac:dyDescent="0.2">
      <c r="A49" s="82"/>
      <c r="B49" s="104" t="s">
        <v>196</v>
      </c>
      <c r="C49" s="97">
        <v>1</v>
      </c>
      <c r="D49" s="601">
        <v>38989</v>
      </c>
      <c r="E49" s="601">
        <v>996</v>
      </c>
      <c r="F49" s="601">
        <v>35928</v>
      </c>
      <c r="G49" s="601">
        <v>11639</v>
      </c>
      <c r="H49" s="97">
        <v>15</v>
      </c>
      <c r="I49" s="97">
        <v>1</v>
      </c>
      <c r="J49" s="81">
        <v>1</v>
      </c>
    </row>
    <row r="50" spans="1:10" x14ac:dyDescent="0.2">
      <c r="A50" s="82"/>
      <c r="B50" s="104" t="s">
        <v>197</v>
      </c>
      <c r="C50" s="97">
        <v>1</v>
      </c>
      <c r="D50" s="601">
        <v>90071</v>
      </c>
      <c r="E50" s="601">
        <v>3752</v>
      </c>
      <c r="F50" s="601">
        <v>50566</v>
      </c>
      <c r="G50" s="601">
        <v>33992</v>
      </c>
      <c r="H50" s="97">
        <v>21</v>
      </c>
      <c r="I50" s="97">
        <v>1</v>
      </c>
      <c r="J50" s="81">
        <v>1</v>
      </c>
    </row>
    <row r="51" spans="1:10" x14ac:dyDescent="0.2">
      <c r="A51" s="82"/>
      <c r="B51" s="104" t="s">
        <v>198</v>
      </c>
      <c r="C51" s="98">
        <v>1</v>
      </c>
      <c r="D51" s="601">
        <v>74562</v>
      </c>
      <c r="E51" s="601">
        <v>2352</v>
      </c>
      <c r="F51" s="601">
        <v>70485</v>
      </c>
      <c r="G51" s="601">
        <v>48833</v>
      </c>
      <c r="H51" s="98">
        <v>22</v>
      </c>
      <c r="I51" s="98">
        <v>1</v>
      </c>
      <c r="J51" s="81">
        <v>1</v>
      </c>
    </row>
    <row r="52" spans="1:10" x14ac:dyDescent="0.2">
      <c r="A52" s="82"/>
      <c r="B52" s="99" t="s">
        <v>22</v>
      </c>
      <c r="C52" s="100">
        <f t="shared" ref="C52:J52" si="4">SUM(C46:C51)</f>
        <v>6</v>
      </c>
      <c r="D52" s="100">
        <f t="shared" si="4"/>
        <v>352356</v>
      </c>
      <c r="E52" s="100">
        <f t="shared" si="4"/>
        <v>12980</v>
      </c>
      <c r="F52" s="100">
        <f t="shared" si="4"/>
        <v>321945</v>
      </c>
      <c r="G52" s="100">
        <f>SUM(G45:G51)</f>
        <v>217721</v>
      </c>
      <c r="H52" s="100">
        <f>SUM(H46:H51)</f>
        <v>123</v>
      </c>
      <c r="I52" s="100">
        <f t="shared" si="4"/>
        <v>6</v>
      </c>
      <c r="J52" s="101">
        <f t="shared" si="4"/>
        <v>6</v>
      </c>
    </row>
    <row r="53" spans="1:10" x14ac:dyDescent="0.2">
      <c r="A53" s="82"/>
    </row>
    <row r="54" spans="1:10" x14ac:dyDescent="0.2">
      <c r="A54" s="82"/>
    </row>
    <row r="55" spans="1:10" x14ac:dyDescent="0.2">
      <c r="A55" s="82"/>
    </row>
    <row r="56" spans="1:10" x14ac:dyDescent="0.2">
      <c r="A56" s="82"/>
    </row>
    <row r="57" spans="1:10" x14ac:dyDescent="0.2">
      <c r="A57" s="82"/>
    </row>
    <row r="58" spans="1:10" x14ac:dyDescent="0.2">
      <c r="A58" s="82"/>
    </row>
    <row r="59" spans="1:10" x14ac:dyDescent="0.2">
      <c r="A59" s="82"/>
    </row>
    <row r="60" spans="1:10" x14ac:dyDescent="0.2">
      <c r="A60" s="82"/>
    </row>
    <row r="61" spans="1:10" x14ac:dyDescent="0.2">
      <c r="A61" s="82"/>
    </row>
    <row r="62" spans="1:10" x14ac:dyDescent="0.2">
      <c r="A62" s="82"/>
    </row>
    <row r="63" spans="1:10" x14ac:dyDescent="0.2">
      <c r="A63" s="82"/>
    </row>
    <row r="64" spans="1:10" x14ac:dyDescent="0.2">
      <c r="A64" s="82"/>
    </row>
    <row r="65" spans="1:10" x14ac:dyDescent="0.2">
      <c r="A65" s="82"/>
    </row>
    <row r="66" spans="1:10" x14ac:dyDescent="0.2">
      <c r="A66" s="82"/>
    </row>
    <row r="67" spans="1:10" x14ac:dyDescent="0.2">
      <c r="A67" s="82"/>
    </row>
    <row r="68" spans="1:10" x14ac:dyDescent="0.2">
      <c r="A68" s="82"/>
      <c r="B68" s="929" t="s">
        <v>84</v>
      </c>
      <c r="C68" s="929" t="s">
        <v>85</v>
      </c>
      <c r="D68" s="929" t="s">
        <v>67</v>
      </c>
      <c r="E68" s="929" t="s">
        <v>68</v>
      </c>
      <c r="F68" s="929" t="s">
        <v>69</v>
      </c>
      <c r="G68" s="929" t="s">
        <v>70</v>
      </c>
      <c r="H68" s="929" t="s">
        <v>222</v>
      </c>
      <c r="I68" s="932" t="s">
        <v>223</v>
      </c>
      <c r="J68" s="933"/>
    </row>
    <row r="69" spans="1:10" x14ac:dyDescent="0.2">
      <c r="A69" s="82"/>
      <c r="B69" s="930"/>
      <c r="C69" s="930"/>
      <c r="D69" s="930"/>
      <c r="E69" s="930"/>
      <c r="F69" s="930"/>
      <c r="G69" s="930"/>
      <c r="H69" s="930"/>
      <c r="I69" s="934"/>
      <c r="J69" s="935"/>
    </row>
    <row r="70" spans="1:10" ht="26.25" customHeight="1" x14ac:dyDescent="0.2">
      <c r="A70" s="82"/>
      <c r="B70" s="931"/>
      <c r="C70" s="931"/>
      <c r="D70" s="931"/>
      <c r="E70" s="931"/>
      <c r="F70" s="931"/>
      <c r="G70" s="931"/>
      <c r="H70" s="931"/>
      <c r="I70" s="88" t="s">
        <v>73</v>
      </c>
      <c r="J70" s="89" t="s">
        <v>86</v>
      </c>
    </row>
    <row r="71" spans="1:10" x14ac:dyDescent="0.2">
      <c r="B71" s="90">
        <v>1</v>
      </c>
      <c r="C71" s="90">
        <v>2</v>
      </c>
      <c r="D71" s="90">
        <v>3</v>
      </c>
      <c r="E71" s="90">
        <v>4</v>
      </c>
      <c r="F71" s="90">
        <v>5</v>
      </c>
      <c r="G71" s="90">
        <v>6</v>
      </c>
      <c r="H71" s="90">
        <v>7</v>
      </c>
      <c r="I71" s="90">
        <v>8</v>
      </c>
      <c r="J71" s="106">
        <v>9</v>
      </c>
    </row>
    <row r="72" spans="1:10" x14ac:dyDescent="0.2">
      <c r="A72" s="87"/>
      <c r="B72" s="91" t="s">
        <v>103</v>
      </c>
      <c r="J72" s="87"/>
    </row>
    <row r="73" spans="1:10" x14ac:dyDescent="0.2">
      <c r="A73" s="82"/>
      <c r="B73" s="107" t="s">
        <v>199</v>
      </c>
      <c r="C73" s="93">
        <v>1</v>
      </c>
      <c r="D73" s="601">
        <v>70585</v>
      </c>
      <c r="E73" s="601">
        <v>1885</v>
      </c>
      <c r="F73" s="601">
        <v>60780</v>
      </c>
      <c r="G73" s="601">
        <v>17017</v>
      </c>
      <c r="H73" s="93">
        <v>14</v>
      </c>
      <c r="I73" s="93">
        <v>1</v>
      </c>
      <c r="J73" s="81">
        <v>1</v>
      </c>
    </row>
    <row r="74" spans="1:10" x14ac:dyDescent="0.2">
      <c r="A74" s="82"/>
      <c r="B74" s="107" t="s">
        <v>200</v>
      </c>
      <c r="C74" s="93">
        <v>1</v>
      </c>
      <c r="D74" s="601">
        <v>48706</v>
      </c>
      <c r="E74" s="601">
        <v>2875</v>
      </c>
      <c r="F74" s="601">
        <v>92320</v>
      </c>
      <c r="G74" s="601">
        <v>45075</v>
      </c>
      <c r="H74" s="93">
        <v>16</v>
      </c>
      <c r="I74" s="93">
        <v>1</v>
      </c>
      <c r="J74" s="81">
        <v>1</v>
      </c>
    </row>
    <row r="75" spans="1:10" x14ac:dyDescent="0.2">
      <c r="A75" s="82"/>
      <c r="B75" s="107" t="s">
        <v>201</v>
      </c>
      <c r="C75" s="93">
        <v>1</v>
      </c>
      <c r="D75" s="601">
        <v>33021</v>
      </c>
      <c r="E75" s="601">
        <v>1446</v>
      </c>
      <c r="F75" s="601">
        <v>30781</v>
      </c>
      <c r="G75" s="601">
        <v>39139</v>
      </c>
      <c r="H75" s="93">
        <v>16</v>
      </c>
      <c r="I75" s="93">
        <v>1</v>
      </c>
      <c r="J75" s="81">
        <v>1</v>
      </c>
    </row>
    <row r="76" spans="1:10" x14ac:dyDescent="0.2">
      <c r="A76" s="82"/>
      <c r="B76" s="107" t="s">
        <v>202</v>
      </c>
      <c r="C76" s="93">
        <v>1</v>
      </c>
      <c r="D76" s="601">
        <v>47297</v>
      </c>
      <c r="E76" s="601">
        <v>1644</v>
      </c>
      <c r="F76" s="601">
        <v>34485</v>
      </c>
      <c r="G76" s="601">
        <v>35005</v>
      </c>
      <c r="H76" s="93">
        <v>13</v>
      </c>
      <c r="I76" s="93">
        <v>1</v>
      </c>
      <c r="J76" s="81">
        <v>1</v>
      </c>
    </row>
    <row r="77" spans="1:10" x14ac:dyDescent="0.2">
      <c r="A77" s="82"/>
      <c r="B77" s="107" t="s">
        <v>203</v>
      </c>
      <c r="C77" s="93">
        <v>1</v>
      </c>
      <c r="D77" s="601">
        <v>94135</v>
      </c>
      <c r="E77" s="601">
        <v>3083</v>
      </c>
      <c r="F77" s="601">
        <v>59467</v>
      </c>
      <c r="G77" s="601">
        <v>43497</v>
      </c>
      <c r="H77" s="93">
        <v>26</v>
      </c>
      <c r="I77" s="93">
        <v>1</v>
      </c>
      <c r="J77" s="81">
        <v>1</v>
      </c>
    </row>
    <row r="78" spans="1:10" x14ac:dyDescent="0.2">
      <c r="A78" s="82"/>
      <c r="B78" s="107" t="s">
        <v>104</v>
      </c>
      <c r="C78" s="93">
        <v>1</v>
      </c>
      <c r="D78" s="601">
        <v>73508</v>
      </c>
      <c r="E78" s="601">
        <v>2835</v>
      </c>
      <c r="F78" s="601">
        <v>71617</v>
      </c>
      <c r="G78" s="601">
        <v>46882</v>
      </c>
      <c r="H78" s="93">
        <v>20</v>
      </c>
      <c r="I78" s="93">
        <v>1</v>
      </c>
      <c r="J78" s="81">
        <v>1</v>
      </c>
    </row>
    <row r="79" spans="1:10" x14ac:dyDescent="0.2">
      <c r="A79" s="82"/>
      <c r="B79" s="107" t="s">
        <v>204</v>
      </c>
      <c r="C79" s="98">
        <v>1</v>
      </c>
      <c r="D79" s="601">
        <v>40564</v>
      </c>
      <c r="E79" s="98">
        <v>1634</v>
      </c>
      <c r="F79" s="98">
        <v>20574</v>
      </c>
      <c r="G79" s="98">
        <v>17811</v>
      </c>
      <c r="H79" s="98">
        <v>19</v>
      </c>
      <c r="I79" s="98">
        <v>1</v>
      </c>
      <c r="J79" s="81">
        <v>1</v>
      </c>
    </row>
    <row r="80" spans="1:10" x14ac:dyDescent="0.2">
      <c r="A80" s="82"/>
      <c r="B80" s="108" t="s">
        <v>22</v>
      </c>
      <c r="C80" s="100">
        <f t="shared" ref="C80:J80" si="5">SUM(C73:C79)</f>
        <v>7</v>
      </c>
      <c r="D80" s="100">
        <f t="shared" si="5"/>
        <v>407816</v>
      </c>
      <c r="E80" s="100">
        <f t="shared" si="5"/>
        <v>15402</v>
      </c>
      <c r="F80" s="100">
        <f t="shared" si="5"/>
        <v>370024</v>
      </c>
      <c r="G80" s="100">
        <f>SUM(G72:G79)</f>
        <v>244426</v>
      </c>
      <c r="H80" s="100">
        <f>SUM(H72:H79)</f>
        <v>124</v>
      </c>
      <c r="I80" s="100">
        <f t="shared" si="5"/>
        <v>7</v>
      </c>
      <c r="J80" s="101">
        <f t="shared" si="5"/>
        <v>7</v>
      </c>
    </row>
    <row r="81" spans="1:10" x14ac:dyDescent="0.2">
      <c r="A81" s="82"/>
      <c r="B81" s="109" t="s">
        <v>105</v>
      </c>
      <c r="C81" s="93"/>
      <c r="D81" s="93"/>
      <c r="E81" s="93"/>
      <c r="F81" s="93"/>
      <c r="G81" s="93"/>
      <c r="H81" s="93"/>
      <c r="I81" s="93"/>
      <c r="J81" s="81"/>
    </row>
    <row r="82" spans="1:10" x14ac:dyDescent="0.2">
      <c r="A82" s="82"/>
      <c r="B82" s="107" t="s">
        <v>205</v>
      </c>
      <c r="C82" s="93">
        <v>1</v>
      </c>
      <c r="D82" s="601">
        <v>60472</v>
      </c>
      <c r="E82" s="601">
        <v>1591</v>
      </c>
      <c r="F82" s="601">
        <v>29889</v>
      </c>
      <c r="G82" s="601">
        <v>25585</v>
      </c>
      <c r="H82" s="93">
        <v>16</v>
      </c>
      <c r="I82" s="93">
        <v>1</v>
      </c>
      <c r="J82" s="81">
        <v>1</v>
      </c>
    </row>
    <row r="83" spans="1:10" x14ac:dyDescent="0.2">
      <c r="A83" s="82"/>
      <c r="B83" s="107" t="s">
        <v>106</v>
      </c>
      <c r="C83" s="93">
        <v>1</v>
      </c>
      <c r="D83" s="601">
        <v>35492</v>
      </c>
      <c r="E83" s="601">
        <v>286</v>
      </c>
      <c r="F83" s="601">
        <v>6458</v>
      </c>
      <c r="G83" s="601">
        <v>16440</v>
      </c>
      <c r="H83" s="93">
        <v>7</v>
      </c>
      <c r="I83" s="93">
        <v>1</v>
      </c>
      <c r="J83" s="81">
        <v>1</v>
      </c>
    </row>
    <row r="84" spans="1:10" x14ac:dyDescent="0.2">
      <c r="A84" s="82"/>
      <c r="B84" s="107" t="s">
        <v>206</v>
      </c>
      <c r="C84" s="93">
        <v>1</v>
      </c>
      <c r="D84" s="601">
        <v>40436</v>
      </c>
      <c r="E84" s="601">
        <v>1368</v>
      </c>
      <c r="F84" s="601">
        <v>35735</v>
      </c>
      <c r="G84" s="601">
        <v>32943</v>
      </c>
      <c r="H84" s="93">
        <v>13</v>
      </c>
      <c r="I84" s="93">
        <v>1</v>
      </c>
      <c r="J84" s="81">
        <v>1</v>
      </c>
    </row>
    <row r="85" spans="1:10" x14ac:dyDescent="0.2">
      <c r="A85" s="82"/>
      <c r="B85" s="107" t="s">
        <v>207</v>
      </c>
      <c r="C85" s="98">
        <v>1</v>
      </c>
      <c r="D85" s="601">
        <v>72699</v>
      </c>
      <c r="E85" s="601">
        <v>6432</v>
      </c>
      <c r="F85" s="601">
        <v>57840</v>
      </c>
      <c r="G85" s="601">
        <v>38612</v>
      </c>
      <c r="H85" s="98">
        <v>23</v>
      </c>
      <c r="I85" s="98">
        <v>1</v>
      </c>
      <c r="J85" s="81">
        <v>1</v>
      </c>
    </row>
    <row r="86" spans="1:10" x14ac:dyDescent="0.2">
      <c r="A86" s="82"/>
      <c r="B86" s="108" t="s">
        <v>22</v>
      </c>
      <c r="C86" s="100">
        <f t="shared" ref="C86:J86" si="6">SUM(C82:C85)</f>
        <v>4</v>
      </c>
      <c r="D86" s="100">
        <f t="shared" si="6"/>
        <v>209099</v>
      </c>
      <c r="E86" s="100">
        <f t="shared" si="6"/>
        <v>9677</v>
      </c>
      <c r="F86" s="100">
        <f t="shared" si="6"/>
        <v>129922</v>
      </c>
      <c r="G86" s="100">
        <f>SUM(G81:G85)</f>
        <v>113580</v>
      </c>
      <c r="H86" s="100">
        <f>SUM(H82:H85)</f>
        <v>59</v>
      </c>
      <c r="I86" s="100">
        <f t="shared" si="6"/>
        <v>4</v>
      </c>
      <c r="J86" s="101">
        <f t="shared" si="6"/>
        <v>4</v>
      </c>
    </row>
    <row r="87" spans="1:10" x14ac:dyDescent="0.2">
      <c r="A87" s="82"/>
      <c r="B87" s="109" t="s">
        <v>107</v>
      </c>
      <c r="C87" s="93"/>
      <c r="D87" s="93"/>
      <c r="E87" s="93"/>
      <c r="F87" s="93"/>
      <c r="G87" s="93"/>
      <c r="H87" s="93"/>
      <c r="I87" s="93"/>
      <c r="J87" s="81"/>
    </row>
    <row r="88" spans="1:10" x14ac:dyDescent="0.2">
      <c r="A88" s="82"/>
      <c r="B88" s="107" t="s">
        <v>208</v>
      </c>
      <c r="C88" s="93">
        <v>1</v>
      </c>
      <c r="D88" s="601">
        <v>60171</v>
      </c>
      <c r="E88" s="601">
        <v>2745</v>
      </c>
      <c r="F88" s="601">
        <v>71357</v>
      </c>
      <c r="G88" s="601">
        <v>55872</v>
      </c>
      <c r="H88" s="93">
        <v>22</v>
      </c>
      <c r="I88" s="93">
        <v>1</v>
      </c>
      <c r="J88" s="81">
        <v>1</v>
      </c>
    </row>
    <row r="89" spans="1:10" x14ac:dyDescent="0.2">
      <c r="A89" s="82"/>
      <c r="B89" s="107" t="s">
        <v>209</v>
      </c>
      <c r="C89" s="93">
        <v>1</v>
      </c>
      <c r="D89" s="601">
        <v>39855</v>
      </c>
      <c r="E89" s="601">
        <v>1580</v>
      </c>
      <c r="F89" s="601">
        <v>31449</v>
      </c>
      <c r="G89" s="601">
        <v>41594</v>
      </c>
      <c r="H89" s="93">
        <v>14</v>
      </c>
      <c r="I89" s="93">
        <v>1</v>
      </c>
      <c r="J89" s="81">
        <v>1</v>
      </c>
    </row>
    <row r="90" spans="1:10" x14ac:dyDescent="0.2">
      <c r="A90" s="82"/>
      <c r="B90" s="107" t="s">
        <v>108</v>
      </c>
      <c r="C90" s="93">
        <v>1</v>
      </c>
      <c r="D90" s="601">
        <v>32733</v>
      </c>
      <c r="E90" s="601">
        <v>601</v>
      </c>
      <c r="F90" s="601">
        <v>15952</v>
      </c>
      <c r="G90" s="601">
        <v>8091</v>
      </c>
      <c r="H90" s="93">
        <v>6</v>
      </c>
      <c r="I90" s="93">
        <v>1</v>
      </c>
      <c r="J90" s="81">
        <v>1</v>
      </c>
    </row>
    <row r="91" spans="1:10" x14ac:dyDescent="0.2">
      <c r="A91" s="82"/>
      <c r="B91" s="107" t="s">
        <v>210</v>
      </c>
      <c r="C91" s="93">
        <v>1</v>
      </c>
      <c r="D91" s="601">
        <v>64041</v>
      </c>
      <c r="E91" s="601">
        <v>2424</v>
      </c>
      <c r="F91" s="601">
        <v>36577</v>
      </c>
      <c r="G91" s="601">
        <v>25497</v>
      </c>
      <c r="H91" s="93">
        <v>20</v>
      </c>
      <c r="I91" s="93">
        <v>1</v>
      </c>
      <c r="J91" s="81">
        <v>1</v>
      </c>
    </row>
    <row r="92" spans="1:10" x14ac:dyDescent="0.2">
      <c r="A92" s="82"/>
      <c r="B92" s="108" t="s">
        <v>22</v>
      </c>
      <c r="C92" s="101">
        <f t="shared" ref="C92:J92" si="7">SUM(C88:C91)</f>
        <v>4</v>
      </c>
      <c r="D92" s="101">
        <f t="shared" si="7"/>
        <v>196800</v>
      </c>
      <c r="E92" s="101">
        <f t="shared" si="7"/>
        <v>7350</v>
      </c>
      <c r="F92" s="101">
        <f t="shared" si="7"/>
        <v>155335</v>
      </c>
      <c r="G92" s="101">
        <f>SUM(G87:G91)</f>
        <v>131054</v>
      </c>
      <c r="H92" s="101">
        <f>SUM(H87:H91)</f>
        <v>62</v>
      </c>
      <c r="I92" s="101">
        <f t="shared" si="7"/>
        <v>4</v>
      </c>
      <c r="J92" s="101">
        <f t="shared" si="7"/>
        <v>4</v>
      </c>
    </row>
    <row r="93" spans="1:10" x14ac:dyDescent="0.2">
      <c r="A93" s="82"/>
      <c r="B93" s="109" t="s">
        <v>109</v>
      </c>
      <c r="C93" s="93"/>
      <c r="D93" s="93"/>
      <c r="E93" s="93"/>
      <c r="F93" s="93"/>
      <c r="G93" s="93"/>
      <c r="H93" s="93"/>
      <c r="I93" s="93"/>
      <c r="J93" s="81"/>
    </row>
    <row r="94" spans="1:10" x14ac:dyDescent="0.2">
      <c r="A94" s="82"/>
      <c r="B94" s="107" t="s">
        <v>211</v>
      </c>
      <c r="C94" s="93">
        <v>1</v>
      </c>
      <c r="D94" s="601">
        <v>85584</v>
      </c>
      <c r="E94" s="601">
        <v>2072</v>
      </c>
      <c r="F94" s="601">
        <v>50639</v>
      </c>
      <c r="G94" s="601">
        <v>40652</v>
      </c>
      <c r="H94" s="93">
        <v>20</v>
      </c>
      <c r="I94" s="93">
        <v>1</v>
      </c>
      <c r="J94" s="81">
        <v>1</v>
      </c>
    </row>
    <row r="95" spans="1:10" x14ac:dyDescent="0.2">
      <c r="A95" s="82"/>
      <c r="B95" s="107" t="s">
        <v>212</v>
      </c>
      <c r="C95" s="93">
        <v>1</v>
      </c>
      <c r="D95" s="601">
        <v>53808</v>
      </c>
      <c r="E95" s="601">
        <v>1700</v>
      </c>
      <c r="F95" s="601">
        <v>17818</v>
      </c>
      <c r="G95" s="601">
        <v>30167</v>
      </c>
      <c r="H95" s="93">
        <v>15</v>
      </c>
      <c r="I95" s="93">
        <v>1</v>
      </c>
      <c r="J95" s="81">
        <v>1</v>
      </c>
    </row>
    <row r="96" spans="1:10" x14ac:dyDescent="0.2">
      <c r="A96" s="82"/>
      <c r="B96" s="107" t="s">
        <v>213</v>
      </c>
      <c r="C96" s="93">
        <v>1</v>
      </c>
      <c r="D96" s="601">
        <v>35198</v>
      </c>
      <c r="E96" s="601">
        <v>1390</v>
      </c>
      <c r="F96" s="601">
        <v>36600</v>
      </c>
      <c r="G96" s="601">
        <v>39850</v>
      </c>
      <c r="H96" s="93">
        <v>16</v>
      </c>
      <c r="I96" s="93">
        <v>1</v>
      </c>
      <c r="J96" s="81">
        <v>1</v>
      </c>
    </row>
    <row r="97" spans="1:10" x14ac:dyDescent="0.2">
      <c r="A97" s="82"/>
      <c r="B97" s="107" t="s">
        <v>214</v>
      </c>
      <c r="C97" s="93">
        <v>1</v>
      </c>
      <c r="D97" s="601">
        <v>129303</v>
      </c>
      <c r="E97" s="601">
        <v>2264</v>
      </c>
      <c r="F97" s="601">
        <v>100937</v>
      </c>
      <c r="G97" s="601">
        <v>78235</v>
      </c>
      <c r="H97" s="93">
        <v>24</v>
      </c>
      <c r="I97" s="93">
        <v>1</v>
      </c>
      <c r="J97" s="81">
        <v>1</v>
      </c>
    </row>
    <row r="98" spans="1:10" x14ac:dyDescent="0.2">
      <c r="A98" s="82"/>
      <c r="B98" s="107" t="s">
        <v>110</v>
      </c>
      <c r="C98" s="93">
        <v>1</v>
      </c>
      <c r="D98" s="601">
        <v>58901</v>
      </c>
      <c r="E98" s="601">
        <v>1188</v>
      </c>
      <c r="F98" s="601">
        <v>22253</v>
      </c>
      <c r="G98" s="601">
        <v>11367</v>
      </c>
      <c r="H98" s="93">
        <v>10</v>
      </c>
      <c r="I98" s="93">
        <v>1</v>
      </c>
      <c r="J98" s="81">
        <v>1</v>
      </c>
    </row>
    <row r="99" spans="1:10" x14ac:dyDescent="0.2">
      <c r="A99" s="82"/>
      <c r="B99" s="107" t="s">
        <v>215</v>
      </c>
      <c r="C99" s="98">
        <v>1</v>
      </c>
      <c r="D99" s="601">
        <v>69619</v>
      </c>
      <c r="E99" s="601">
        <v>1542</v>
      </c>
      <c r="F99" s="601">
        <v>43358</v>
      </c>
      <c r="G99" s="601">
        <v>48065</v>
      </c>
      <c r="H99" s="98">
        <v>19</v>
      </c>
      <c r="I99" s="98">
        <v>1</v>
      </c>
      <c r="J99" s="81">
        <v>1</v>
      </c>
    </row>
    <row r="100" spans="1:10" x14ac:dyDescent="0.2">
      <c r="A100" s="82"/>
      <c r="B100" s="108" t="s">
        <v>22</v>
      </c>
      <c r="C100" s="100">
        <f t="shared" ref="C100:J100" si="8">SUM(C94:C99)</f>
        <v>6</v>
      </c>
      <c r="D100" s="100">
        <f>SUM(D94:D99)</f>
        <v>432413</v>
      </c>
      <c r="E100" s="100">
        <f t="shared" si="8"/>
        <v>10156</v>
      </c>
      <c r="F100" s="100">
        <f t="shared" si="8"/>
        <v>271605</v>
      </c>
      <c r="G100" s="100">
        <f>SUM(G93:G99)</f>
        <v>248336</v>
      </c>
      <c r="H100" s="100">
        <f t="shared" si="8"/>
        <v>104</v>
      </c>
      <c r="I100" s="100">
        <f t="shared" si="8"/>
        <v>6</v>
      </c>
      <c r="J100" s="101">
        <f t="shared" si="8"/>
        <v>6</v>
      </c>
    </row>
    <row r="101" spans="1:10" x14ac:dyDescent="0.2">
      <c r="A101" s="82"/>
      <c r="B101" s="109" t="s">
        <v>111</v>
      </c>
      <c r="C101" s="93"/>
      <c r="D101" s="93"/>
      <c r="E101" s="93"/>
      <c r="F101" s="93"/>
      <c r="G101" s="93"/>
      <c r="H101" s="93"/>
      <c r="I101" s="93"/>
      <c r="J101" s="81"/>
    </row>
    <row r="102" spans="1:10" x14ac:dyDescent="0.2">
      <c r="A102" s="82"/>
      <c r="B102" s="107" t="s">
        <v>112</v>
      </c>
      <c r="C102" s="93">
        <v>1</v>
      </c>
      <c r="D102" s="601">
        <v>60983</v>
      </c>
      <c r="E102" s="601">
        <v>3780</v>
      </c>
      <c r="F102" s="601">
        <v>35262</v>
      </c>
      <c r="G102" s="601">
        <v>28263</v>
      </c>
      <c r="H102" s="93">
        <v>17</v>
      </c>
      <c r="I102" s="93">
        <v>1</v>
      </c>
      <c r="J102" s="81">
        <v>1</v>
      </c>
    </row>
    <row r="103" spans="1:10" x14ac:dyDescent="0.2">
      <c r="A103" s="82"/>
      <c r="B103" s="107" t="s">
        <v>216</v>
      </c>
      <c r="C103" s="93">
        <v>1</v>
      </c>
      <c r="D103" s="601">
        <v>38673</v>
      </c>
      <c r="E103" s="601">
        <v>1650</v>
      </c>
      <c r="F103" s="601">
        <v>25004</v>
      </c>
      <c r="G103" s="601">
        <v>12117</v>
      </c>
      <c r="H103" s="93">
        <v>13</v>
      </c>
      <c r="I103" s="93">
        <v>1</v>
      </c>
      <c r="J103" s="81">
        <v>1</v>
      </c>
    </row>
    <row r="104" spans="1:10" x14ac:dyDescent="0.2">
      <c r="A104" s="82"/>
      <c r="B104" s="107" t="s">
        <v>217</v>
      </c>
      <c r="C104" s="93">
        <v>1</v>
      </c>
      <c r="D104" s="601">
        <v>27054</v>
      </c>
      <c r="E104" s="601">
        <v>1268</v>
      </c>
      <c r="F104" s="601">
        <v>25471</v>
      </c>
      <c r="G104" s="601">
        <v>20994</v>
      </c>
      <c r="H104" s="93">
        <v>13</v>
      </c>
      <c r="I104" s="93">
        <v>1</v>
      </c>
      <c r="J104" s="81">
        <v>1</v>
      </c>
    </row>
    <row r="105" spans="1:10" x14ac:dyDescent="0.2">
      <c r="A105" s="82"/>
      <c r="B105" s="107" t="s">
        <v>218</v>
      </c>
      <c r="C105" s="93">
        <v>1</v>
      </c>
      <c r="D105" s="601">
        <v>41838</v>
      </c>
      <c r="E105" s="601">
        <v>1002</v>
      </c>
      <c r="F105" s="601">
        <v>27422</v>
      </c>
      <c r="G105" s="601">
        <v>23690</v>
      </c>
      <c r="H105" s="93">
        <v>13</v>
      </c>
      <c r="I105" s="93">
        <v>1</v>
      </c>
      <c r="J105" s="81">
        <v>1</v>
      </c>
    </row>
    <row r="106" spans="1:10" x14ac:dyDescent="0.2">
      <c r="A106" s="82"/>
      <c r="B106" s="107" t="s">
        <v>219</v>
      </c>
      <c r="C106" s="93">
        <v>1</v>
      </c>
      <c r="D106" s="601">
        <v>54007</v>
      </c>
      <c r="E106" s="601">
        <v>5542</v>
      </c>
      <c r="F106" s="601">
        <v>65141</v>
      </c>
      <c r="G106" s="601">
        <v>41443</v>
      </c>
      <c r="H106" s="93">
        <v>14</v>
      </c>
      <c r="I106" s="93">
        <v>1</v>
      </c>
      <c r="J106" s="81">
        <v>1</v>
      </c>
    </row>
    <row r="107" spans="1:10" x14ac:dyDescent="0.2">
      <c r="A107" s="82"/>
      <c r="B107" s="107" t="s">
        <v>220</v>
      </c>
      <c r="C107" s="93">
        <v>1</v>
      </c>
      <c r="D107" s="601">
        <v>60270</v>
      </c>
      <c r="E107" s="601">
        <v>2991</v>
      </c>
      <c r="F107" s="601">
        <v>97732</v>
      </c>
      <c r="G107" s="601">
        <v>75696</v>
      </c>
      <c r="H107" s="93">
        <v>25</v>
      </c>
      <c r="I107" s="93">
        <v>1</v>
      </c>
      <c r="J107" s="81">
        <v>1</v>
      </c>
    </row>
    <row r="108" spans="1:10" x14ac:dyDescent="0.2">
      <c r="A108" s="82"/>
      <c r="B108" s="107" t="s">
        <v>113</v>
      </c>
      <c r="C108" s="93">
        <v>1</v>
      </c>
      <c r="D108" s="601">
        <v>73681</v>
      </c>
      <c r="E108" s="601">
        <v>11387</v>
      </c>
      <c r="F108" s="601">
        <v>83197</v>
      </c>
      <c r="G108" s="601">
        <v>153876</v>
      </c>
      <c r="H108" s="93">
        <v>21</v>
      </c>
      <c r="I108" s="93">
        <v>1</v>
      </c>
      <c r="J108" s="81">
        <v>1</v>
      </c>
    </row>
    <row r="109" spans="1:10" x14ac:dyDescent="0.2">
      <c r="A109" s="82"/>
      <c r="B109" s="107" t="s">
        <v>221</v>
      </c>
      <c r="C109" s="98">
        <v>1</v>
      </c>
      <c r="D109" s="601">
        <v>37541</v>
      </c>
      <c r="E109" s="601">
        <v>514</v>
      </c>
      <c r="F109" s="601">
        <v>7674</v>
      </c>
      <c r="G109" s="601">
        <v>5112</v>
      </c>
      <c r="H109" s="98">
        <v>15</v>
      </c>
      <c r="I109" s="98">
        <v>1</v>
      </c>
      <c r="J109" s="81">
        <v>1</v>
      </c>
    </row>
    <row r="110" spans="1:10" x14ac:dyDescent="0.2">
      <c r="A110" s="82"/>
      <c r="B110" s="125" t="s">
        <v>22</v>
      </c>
      <c r="C110" s="126">
        <f>SUM(C102:C109)</f>
        <v>8</v>
      </c>
      <c r="D110" s="126">
        <f>SUM(D102:D109)</f>
        <v>394047</v>
      </c>
      <c r="E110" s="126">
        <f>SUM(E102:E109)</f>
        <v>28134</v>
      </c>
      <c r="F110" s="126">
        <f>SUM(F102:F109)</f>
        <v>366903</v>
      </c>
      <c r="G110" s="126">
        <f>SUM(G101:G109)</f>
        <v>361191</v>
      </c>
      <c r="H110" s="126">
        <f>SUM(H101:H109)</f>
        <v>131</v>
      </c>
      <c r="I110" s="126">
        <v>8</v>
      </c>
      <c r="J110" s="127">
        <v>8</v>
      </c>
    </row>
    <row r="111" spans="1:10" x14ac:dyDescent="0.2">
      <c r="A111" s="82"/>
      <c r="B111" s="147" t="s">
        <v>115</v>
      </c>
      <c r="C111" s="148">
        <f>SUM(C110,C100,C92,C86,C80,C52,C44,C37,C28,C18)</f>
        <v>60</v>
      </c>
      <c r="D111" s="148">
        <f>SUM(D18,D28,D37,D44,D52,D80,D86,D92,D100,D110)</f>
        <v>3555456</v>
      </c>
      <c r="E111" s="148">
        <f t="shared" ref="E111:J111" si="9">SUM(E110,E100,E92,E86,E80,E52,E44,E37,E28,E18)</f>
        <v>173087</v>
      </c>
      <c r="F111" s="149">
        <f t="shared" si="9"/>
        <v>3044929</v>
      </c>
      <c r="G111" s="148">
        <f t="shared" si="9"/>
        <v>2469839</v>
      </c>
      <c r="H111" s="148">
        <f t="shared" si="9"/>
        <v>1026</v>
      </c>
      <c r="I111" s="148">
        <f t="shared" si="9"/>
        <v>60</v>
      </c>
      <c r="J111" s="149">
        <f t="shared" si="9"/>
        <v>60</v>
      </c>
    </row>
    <row r="112" spans="1:10" x14ac:dyDescent="0.2">
      <c r="A112" s="82"/>
      <c r="B112" s="110" t="s">
        <v>288</v>
      </c>
      <c r="C112" s="111">
        <v>60</v>
      </c>
      <c r="D112" s="111">
        <v>3576746</v>
      </c>
      <c r="E112" s="111">
        <v>193858</v>
      </c>
      <c r="F112" s="112">
        <v>2669951</v>
      </c>
      <c r="G112" s="111">
        <v>2024771</v>
      </c>
      <c r="H112" s="111">
        <v>997</v>
      </c>
      <c r="I112" s="111">
        <v>60</v>
      </c>
      <c r="J112" s="112">
        <v>60</v>
      </c>
    </row>
    <row r="113" spans="1:10" x14ac:dyDescent="0.2">
      <c r="A113" s="82"/>
      <c r="B113" s="113" t="s">
        <v>116</v>
      </c>
      <c r="C113" s="114">
        <f t="shared" ref="C113:H113" si="10">C111-C112</f>
        <v>0</v>
      </c>
      <c r="D113" s="114">
        <f t="shared" si="10"/>
        <v>-21290</v>
      </c>
      <c r="E113" s="114">
        <f t="shared" si="10"/>
        <v>-20771</v>
      </c>
      <c r="F113" s="115">
        <f t="shared" si="10"/>
        <v>374978</v>
      </c>
      <c r="G113" s="114">
        <f t="shared" si="10"/>
        <v>445068</v>
      </c>
      <c r="H113" s="114">
        <f t="shared" si="10"/>
        <v>29</v>
      </c>
      <c r="I113" s="114">
        <v>0</v>
      </c>
      <c r="J113" s="115">
        <v>0</v>
      </c>
    </row>
    <row r="114" spans="1:10" x14ac:dyDescent="0.2">
      <c r="A114" s="82"/>
      <c r="B114" s="82"/>
      <c r="C114" s="82"/>
      <c r="D114" s="82"/>
      <c r="E114" s="82"/>
      <c r="F114" s="82"/>
      <c r="G114" s="82"/>
      <c r="H114" s="82"/>
      <c r="I114" s="82"/>
    </row>
    <row r="115" spans="1:10" x14ac:dyDescent="0.2">
      <c r="A115" s="82"/>
      <c r="B115" s="82"/>
      <c r="C115" s="82"/>
      <c r="D115" s="82"/>
      <c r="E115" s="82"/>
      <c r="F115" s="82"/>
      <c r="G115" s="82"/>
      <c r="H115" s="82"/>
      <c r="I115" s="82"/>
    </row>
    <row r="116" spans="1:10" x14ac:dyDescent="0.2">
      <c r="A116" s="82"/>
      <c r="B116" s="82"/>
      <c r="C116" s="82"/>
      <c r="D116" s="82"/>
      <c r="E116" s="82"/>
      <c r="F116" s="82"/>
      <c r="G116" s="82"/>
      <c r="H116" s="82"/>
      <c r="I116" s="82"/>
    </row>
    <row r="117" spans="1:10" x14ac:dyDescent="0.2">
      <c r="A117" s="82"/>
      <c r="B117" s="82"/>
      <c r="C117" s="82"/>
      <c r="D117" s="82"/>
      <c r="E117" s="82"/>
      <c r="F117" s="82"/>
      <c r="G117" s="82"/>
      <c r="H117" s="82"/>
      <c r="I117" s="82"/>
    </row>
    <row r="118" spans="1:10" x14ac:dyDescent="0.2">
      <c r="A118" s="82"/>
      <c r="B118" s="82"/>
      <c r="C118" s="82"/>
      <c r="D118" s="82"/>
      <c r="E118" s="82"/>
      <c r="F118" s="82"/>
      <c r="G118" s="82"/>
      <c r="H118" s="82"/>
      <c r="I118" s="82"/>
    </row>
    <row r="119" spans="1:10" x14ac:dyDescent="0.2">
      <c r="A119" s="82"/>
      <c r="B119" s="82"/>
      <c r="C119" s="82"/>
      <c r="D119" s="82"/>
      <c r="E119" s="82"/>
      <c r="F119" s="82"/>
      <c r="G119" s="82"/>
      <c r="H119" s="82"/>
      <c r="I119" s="82"/>
    </row>
    <row r="120" spans="1:10" x14ac:dyDescent="0.2">
      <c r="A120" s="82"/>
      <c r="B120" s="82"/>
      <c r="C120" s="82"/>
      <c r="D120" s="82"/>
      <c r="E120" s="82"/>
      <c r="F120" s="82"/>
      <c r="G120" s="82"/>
      <c r="H120" s="82"/>
      <c r="I120" s="82"/>
    </row>
    <row r="121" spans="1:10" x14ac:dyDescent="0.2">
      <c r="A121" s="82"/>
      <c r="B121" s="82"/>
      <c r="C121" s="82"/>
      <c r="D121" s="82"/>
      <c r="E121" s="82"/>
      <c r="F121" s="82"/>
      <c r="G121" s="82"/>
      <c r="H121" s="82"/>
      <c r="I121" s="82"/>
    </row>
    <row r="122" spans="1:10" x14ac:dyDescent="0.2">
      <c r="A122" s="82"/>
      <c r="B122" s="82"/>
      <c r="C122" s="82"/>
      <c r="D122" s="82"/>
      <c r="E122" s="82"/>
      <c r="F122" s="82"/>
      <c r="G122" s="82"/>
      <c r="H122" s="82"/>
      <c r="I122" s="82"/>
    </row>
    <row r="123" spans="1:10" x14ac:dyDescent="0.2">
      <c r="A123" s="82"/>
      <c r="B123" s="82"/>
      <c r="C123" s="82"/>
      <c r="D123" s="82"/>
      <c r="E123" s="82"/>
      <c r="F123" s="82"/>
      <c r="G123" s="82"/>
      <c r="H123" s="82"/>
      <c r="I123" s="82"/>
    </row>
    <row r="124" spans="1:10" x14ac:dyDescent="0.2">
      <c r="A124" s="82"/>
      <c r="B124" s="82"/>
      <c r="C124" s="82"/>
      <c r="D124" s="82"/>
      <c r="E124" s="82"/>
      <c r="F124" s="82"/>
      <c r="G124" s="82"/>
      <c r="H124" s="82"/>
      <c r="I124" s="82"/>
    </row>
    <row r="125" spans="1:10" x14ac:dyDescent="0.2">
      <c r="A125" s="82"/>
      <c r="B125" s="82"/>
      <c r="C125" s="82"/>
      <c r="D125" s="82"/>
      <c r="E125" s="82"/>
      <c r="F125" s="82"/>
      <c r="G125" s="82"/>
      <c r="H125" s="82"/>
      <c r="I125" s="82"/>
    </row>
    <row r="126" spans="1:10" x14ac:dyDescent="0.2">
      <c r="A126" s="82"/>
      <c r="B126" s="82"/>
      <c r="C126" s="82"/>
      <c r="D126" s="82"/>
      <c r="E126" s="82"/>
      <c r="F126" s="82"/>
      <c r="G126" s="82"/>
      <c r="H126" s="82"/>
      <c r="I126" s="82"/>
    </row>
    <row r="127" spans="1:10" x14ac:dyDescent="0.2">
      <c r="A127" s="82"/>
      <c r="B127" s="82"/>
      <c r="C127" s="82"/>
      <c r="D127" s="82"/>
      <c r="E127" s="82"/>
      <c r="F127" s="82"/>
      <c r="G127" s="82"/>
      <c r="H127" s="82"/>
      <c r="I127" s="82"/>
    </row>
    <row r="128" spans="1:10" x14ac:dyDescent="0.2">
      <c r="A128" s="82"/>
      <c r="B128" s="82"/>
      <c r="C128" s="82"/>
      <c r="D128" s="82"/>
      <c r="E128" s="82"/>
      <c r="F128" s="82"/>
      <c r="G128" s="82"/>
      <c r="H128" s="82"/>
      <c r="I128" s="82"/>
    </row>
    <row r="129" spans="1:9" x14ac:dyDescent="0.2">
      <c r="A129" s="82"/>
      <c r="B129" s="82"/>
      <c r="C129" s="82"/>
      <c r="D129" s="82"/>
      <c r="E129" s="82"/>
      <c r="F129" s="82"/>
      <c r="G129" s="82"/>
      <c r="H129" s="82"/>
      <c r="I129" s="82"/>
    </row>
    <row r="130" spans="1:9" x14ac:dyDescent="0.2">
      <c r="A130" s="82"/>
      <c r="B130" s="82"/>
      <c r="C130" s="82"/>
      <c r="D130" s="82"/>
      <c r="E130" s="82"/>
      <c r="F130" s="82"/>
      <c r="G130" s="82"/>
      <c r="H130" s="82"/>
      <c r="I130" s="82"/>
    </row>
    <row r="131" spans="1:9" x14ac:dyDescent="0.2">
      <c r="A131" s="82"/>
      <c r="B131" s="82"/>
      <c r="C131" s="82"/>
      <c r="D131" s="82"/>
      <c r="E131" s="82"/>
      <c r="F131" s="82"/>
      <c r="G131" s="82"/>
      <c r="H131" s="82"/>
      <c r="I131" s="82"/>
    </row>
    <row r="132" spans="1:9" x14ac:dyDescent="0.2">
      <c r="A132" s="82"/>
      <c r="B132" s="82"/>
      <c r="C132" s="82"/>
      <c r="D132" s="82"/>
      <c r="E132" s="82"/>
      <c r="F132" s="82"/>
      <c r="G132" s="82"/>
      <c r="H132" s="82"/>
      <c r="I132" s="82"/>
    </row>
    <row r="133" spans="1:9" x14ac:dyDescent="0.2">
      <c r="A133" s="82"/>
      <c r="B133" s="82"/>
      <c r="C133" s="82"/>
      <c r="D133" s="82"/>
      <c r="E133" s="82"/>
      <c r="F133" s="82"/>
      <c r="G133" s="82"/>
      <c r="H133" s="82"/>
      <c r="I133" s="82"/>
    </row>
    <row r="134" spans="1:9" x14ac:dyDescent="0.2">
      <c r="A134" s="82"/>
      <c r="B134" s="82"/>
      <c r="C134" s="82"/>
      <c r="D134" s="82"/>
      <c r="E134" s="82"/>
      <c r="F134" s="82"/>
      <c r="G134" s="82"/>
      <c r="H134" s="82"/>
      <c r="I134" s="82"/>
    </row>
    <row r="135" spans="1:9" x14ac:dyDescent="0.2">
      <c r="A135" s="82"/>
      <c r="B135" s="82"/>
      <c r="C135" s="82"/>
      <c r="D135" s="82"/>
      <c r="E135" s="82"/>
      <c r="F135" s="82"/>
      <c r="G135" s="82"/>
      <c r="H135" s="82"/>
      <c r="I135" s="82"/>
    </row>
    <row r="136" spans="1:9" x14ac:dyDescent="0.2">
      <c r="A136" s="82"/>
      <c r="B136" s="82"/>
      <c r="C136" s="82"/>
      <c r="D136" s="82"/>
      <c r="E136" s="82"/>
      <c r="F136" s="82"/>
      <c r="G136" s="82"/>
      <c r="H136" s="82"/>
      <c r="I136" s="82"/>
    </row>
    <row r="137" spans="1:9" x14ac:dyDescent="0.2">
      <c r="A137" s="82"/>
      <c r="B137" s="82"/>
      <c r="C137" s="82"/>
      <c r="D137" s="82"/>
      <c r="E137" s="82"/>
      <c r="F137" s="82"/>
      <c r="G137" s="82"/>
      <c r="H137" s="82"/>
      <c r="I137" s="82"/>
    </row>
    <row r="138" spans="1:9" x14ac:dyDescent="0.2">
      <c r="A138" s="82"/>
      <c r="B138" s="82"/>
      <c r="C138" s="82"/>
      <c r="D138" s="82"/>
      <c r="E138" s="82"/>
      <c r="F138" s="82"/>
      <c r="G138" s="82"/>
      <c r="H138" s="82"/>
      <c r="I138" s="82"/>
    </row>
    <row r="139" spans="1:9" x14ac:dyDescent="0.2">
      <c r="A139" s="82"/>
      <c r="B139" s="82"/>
      <c r="C139" s="82"/>
      <c r="D139" s="82"/>
      <c r="E139" s="82"/>
      <c r="F139" s="82"/>
      <c r="G139" s="82"/>
      <c r="H139" s="82"/>
      <c r="I139" s="82"/>
    </row>
    <row r="140" spans="1:9" x14ac:dyDescent="0.2">
      <c r="A140" s="82"/>
      <c r="B140" s="82"/>
      <c r="C140" s="82"/>
      <c r="D140" s="82"/>
      <c r="E140" s="82"/>
      <c r="F140" s="82"/>
      <c r="G140" s="82"/>
      <c r="H140" s="82"/>
      <c r="I140" s="82"/>
    </row>
    <row r="141" spans="1:9" x14ac:dyDescent="0.2">
      <c r="A141" s="82"/>
      <c r="B141" s="82"/>
      <c r="C141" s="82"/>
      <c r="D141" s="82"/>
      <c r="E141" s="82"/>
      <c r="F141" s="82"/>
      <c r="G141" s="82"/>
      <c r="H141" s="82"/>
      <c r="I141" s="82"/>
    </row>
    <row r="142" spans="1:9" x14ac:dyDescent="0.2">
      <c r="A142" s="82"/>
      <c r="B142" s="82"/>
      <c r="C142" s="82"/>
      <c r="D142" s="82"/>
      <c r="E142" s="82"/>
      <c r="F142" s="82"/>
      <c r="G142" s="82"/>
      <c r="H142" s="82"/>
      <c r="I142" s="82"/>
    </row>
    <row r="143" spans="1:9" x14ac:dyDescent="0.2">
      <c r="A143" s="82"/>
      <c r="B143" s="82"/>
      <c r="C143" s="82"/>
      <c r="D143" s="82"/>
      <c r="E143" s="82"/>
      <c r="F143" s="82"/>
      <c r="G143" s="82"/>
      <c r="H143" s="82"/>
      <c r="I143" s="82"/>
    </row>
    <row r="144" spans="1:9" x14ac:dyDescent="0.2">
      <c r="A144" s="82"/>
      <c r="B144" s="82"/>
      <c r="C144" s="82"/>
      <c r="D144" s="82"/>
      <c r="E144" s="82"/>
      <c r="F144" s="82"/>
      <c r="G144" s="82"/>
      <c r="H144" s="82"/>
      <c r="I144" s="82"/>
    </row>
    <row r="145" spans="1:9" x14ac:dyDescent="0.2">
      <c r="A145" s="82"/>
      <c r="B145" s="82"/>
      <c r="C145" s="82"/>
      <c r="D145" s="82"/>
      <c r="E145" s="82"/>
      <c r="F145" s="82"/>
      <c r="G145" s="82"/>
      <c r="H145" s="82"/>
      <c r="I145" s="82"/>
    </row>
    <row r="146" spans="1:9" x14ac:dyDescent="0.2">
      <c r="A146" s="82"/>
      <c r="B146" s="82"/>
      <c r="C146" s="82"/>
      <c r="D146" s="82"/>
      <c r="E146" s="82"/>
      <c r="F146" s="82"/>
      <c r="G146" s="82"/>
      <c r="H146" s="82"/>
      <c r="I146" s="82"/>
    </row>
    <row r="147" spans="1:9" x14ac:dyDescent="0.2">
      <c r="A147" s="82"/>
      <c r="B147" s="82"/>
      <c r="C147" s="82"/>
      <c r="D147" s="82"/>
      <c r="E147" s="82"/>
      <c r="F147" s="82"/>
      <c r="G147" s="82"/>
      <c r="H147" s="82"/>
      <c r="I147" s="82"/>
    </row>
    <row r="148" spans="1:9" x14ac:dyDescent="0.2">
      <c r="A148" s="82"/>
      <c r="B148" s="82"/>
      <c r="C148" s="82"/>
      <c r="D148" s="82"/>
      <c r="E148" s="82"/>
      <c r="F148" s="82"/>
      <c r="G148" s="82"/>
      <c r="H148" s="82"/>
      <c r="I148" s="82"/>
    </row>
    <row r="149" spans="1:9" x14ac:dyDescent="0.2">
      <c r="A149" s="82"/>
      <c r="B149" s="82"/>
      <c r="C149" s="82"/>
      <c r="D149" s="82"/>
      <c r="E149" s="82"/>
      <c r="F149" s="82"/>
      <c r="G149" s="82"/>
      <c r="H149" s="82"/>
      <c r="I149" s="82"/>
    </row>
    <row r="150" spans="1:9" x14ac:dyDescent="0.2">
      <c r="A150" s="82"/>
      <c r="B150" s="82"/>
      <c r="C150" s="82"/>
      <c r="D150" s="82"/>
      <c r="E150" s="82"/>
      <c r="F150" s="82"/>
      <c r="G150" s="82"/>
      <c r="H150" s="82"/>
      <c r="I150" s="82"/>
    </row>
  </sheetData>
  <mergeCells count="19">
    <mergeCell ref="C2:I2"/>
    <mergeCell ref="C4:I4"/>
    <mergeCell ref="B8:B10"/>
    <mergeCell ref="C8:C10"/>
    <mergeCell ref="D8:D10"/>
    <mergeCell ref="E8:E10"/>
    <mergeCell ref="F8:F10"/>
    <mergeCell ref="G8:G10"/>
    <mergeCell ref="H8:H10"/>
    <mergeCell ref="I8:J9"/>
    <mergeCell ref="I6:J6"/>
    <mergeCell ref="G68:G70"/>
    <mergeCell ref="H68:H70"/>
    <mergeCell ref="I68:J69"/>
    <mergeCell ref="B68:B70"/>
    <mergeCell ref="C68:C70"/>
    <mergeCell ref="D68:D70"/>
    <mergeCell ref="E68:E70"/>
    <mergeCell ref="F68:F70"/>
  </mergeCells>
  <pageMargins left="1.1811023622047245" right="0.75" top="0.98425196850393704" bottom="0.98425196850393704" header="0.51181102362204722" footer="0.51181102362204722"/>
  <pageSetup paperSize="9" scale="84" fitToHeight="0" orientation="portrait" r:id="rId1"/>
  <headerFooter alignWithMargins="0"/>
  <ignoredErrors>
    <ignoredError sqref="D111 G86 G28" formula="1"/>
    <ignoredError sqref="G8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09"/>
  <sheetViews>
    <sheetView zoomScale="120" zoomScaleNormal="120" workbookViewId="0">
      <selection activeCell="E118" sqref="E118"/>
    </sheetView>
  </sheetViews>
  <sheetFormatPr defaultColWidth="9.140625" defaultRowHeight="12.75" x14ac:dyDescent="0.2"/>
  <cols>
    <col min="1" max="1" width="6" style="72" customWidth="1"/>
    <col min="2" max="2" width="12.7109375" style="72" customWidth="1"/>
    <col min="3" max="6" width="9.140625" style="72"/>
    <col min="7" max="7" width="10.5703125" style="72" customWidth="1"/>
    <col min="8" max="8" width="11" style="72" customWidth="1"/>
    <col min="9" max="10" width="9.5703125" style="72" customWidth="1"/>
    <col min="11" max="16384" width="9.140625" style="72"/>
  </cols>
  <sheetData>
    <row r="2" spans="1:10" ht="18" x14ac:dyDescent="0.25">
      <c r="C2" s="939" t="s">
        <v>118</v>
      </c>
      <c r="D2" s="939"/>
      <c r="E2" s="939"/>
      <c r="F2" s="939"/>
      <c r="G2" s="939"/>
      <c r="H2" s="939"/>
      <c r="I2" s="939"/>
    </row>
    <row r="3" spans="1:10" x14ac:dyDescent="0.2">
      <c r="H3" s="98"/>
    </row>
    <row r="4" spans="1:10" ht="15.75" customHeight="1" x14ac:dyDescent="0.2">
      <c r="C4" s="937" t="s">
        <v>65</v>
      </c>
      <c r="D4" s="937"/>
      <c r="E4" s="937"/>
      <c r="F4" s="937"/>
      <c r="G4" s="937"/>
      <c r="H4" s="937"/>
      <c r="I4" s="937"/>
    </row>
    <row r="5" spans="1:10" x14ac:dyDescent="0.2">
      <c r="H5" s="82"/>
    </row>
    <row r="6" spans="1:10" ht="15" x14ac:dyDescent="0.2">
      <c r="C6" s="938" t="s">
        <v>283</v>
      </c>
      <c r="D6" s="938"/>
      <c r="E6" s="938"/>
      <c r="F6" s="938"/>
      <c r="G6" s="938"/>
      <c r="H6" s="938"/>
      <c r="I6" s="938"/>
    </row>
    <row r="8" spans="1:10" x14ac:dyDescent="0.2">
      <c r="B8" s="929" t="s">
        <v>84</v>
      </c>
      <c r="C8" s="929" t="s">
        <v>85</v>
      </c>
      <c r="D8" s="929" t="s">
        <v>67</v>
      </c>
      <c r="E8" s="929" t="s">
        <v>68</v>
      </c>
      <c r="F8" s="929" t="s">
        <v>69</v>
      </c>
      <c r="G8" s="929" t="s">
        <v>70</v>
      </c>
      <c r="H8" s="929" t="s">
        <v>222</v>
      </c>
      <c r="I8" s="932" t="s">
        <v>223</v>
      </c>
      <c r="J8" s="933"/>
    </row>
    <row r="9" spans="1:10" x14ac:dyDescent="0.2">
      <c r="B9" s="930"/>
      <c r="C9" s="930"/>
      <c r="D9" s="930"/>
      <c r="E9" s="930"/>
      <c r="F9" s="930"/>
      <c r="G9" s="930"/>
      <c r="H9" s="930"/>
      <c r="I9" s="934"/>
      <c r="J9" s="935"/>
    </row>
    <row r="10" spans="1:10" ht="23.25" customHeight="1" x14ac:dyDescent="0.2">
      <c r="B10" s="931"/>
      <c r="C10" s="931"/>
      <c r="D10" s="931"/>
      <c r="E10" s="931"/>
      <c r="F10" s="931"/>
      <c r="G10" s="931"/>
      <c r="H10" s="931"/>
      <c r="I10" s="88" t="s">
        <v>73</v>
      </c>
      <c r="J10" s="89" t="s">
        <v>86</v>
      </c>
    </row>
    <row r="11" spans="1:10" x14ac:dyDescent="0.2">
      <c r="B11" s="90">
        <v>1</v>
      </c>
      <c r="C11" s="90">
        <v>2</v>
      </c>
      <c r="D11" s="90">
        <v>3</v>
      </c>
      <c r="E11" s="90">
        <v>4</v>
      </c>
      <c r="F11" s="90">
        <v>5</v>
      </c>
      <c r="G11" s="90">
        <v>6</v>
      </c>
      <c r="H11" s="90">
        <v>7</v>
      </c>
      <c r="I11" s="90">
        <v>8</v>
      </c>
      <c r="J11" s="106">
        <v>9</v>
      </c>
    </row>
    <row r="12" spans="1:10" x14ac:dyDescent="0.2">
      <c r="A12" s="87"/>
      <c r="B12" s="91" t="s">
        <v>87</v>
      </c>
      <c r="J12" s="87"/>
    </row>
    <row r="13" spans="1:10" x14ac:dyDescent="0.2">
      <c r="A13" s="87"/>
      <c r="B13" s="92" t="s">
        <v>88</v>
      </c>
      <c r="C13" s="93">
        <v>3</v>
      </c>
      <c r="D13" s="601">
        <v>59900</v>
      </c>
      <c r="E13" s="601">
        <v>1288</v>
      </c>
      <c r="F13" s="601">
        <v>51393</v>
      </c>
      <c r="G13" s="601">
        <v>31129</v>
      </c>
      <c r="H13" s="93">
        <v>4</v>
      </c>
      <c r="I13" s="93">
        <v>3</v>
      </c>
      <c r="J13" s="81">
        <v>3</v>
      </c>
    </row>
    <row r="14" spans="1:10" x14ac:dyDescent="0.2">
      <c r="A14" s="87"/>
      <c r="B14" s="94" t="s">
        <v>179</v>
      </c>
      <c r="C14" s="93">
        <v>2</v>
      </c>
      <c r="D14" s="601">
        <v>42852</v>
      </c>
      <c r="E14" s="601">
        <v>476</v>
      </c>
      <c r="F14" s="601">
        <v>11772</v>
      </c>
      <c r="G14" s="601">
        <v>11119</v>
      </c>
      <c r="H14" s="93">
        <v>3</v>
      </c>
      <c r="I14" s="93">
        <v>2</v>
      </c>
      <c r="J14" s="81">
        <v>2</v>
      </c>
    </row>
    <row r="15" spans="1:10" x14ac:dyDescent="0.2">
      <c r="A15" s="87"/>
      <c r="B15" s="94" t="s">
        <v>89</v>
      </c>
      <c r="C15" s="93">
        <v>1</v>
      </c>
      <c r="D15" s="601">
        <v>20251</v>
      </c>
      <c r="E15" s="601">
        <v>686</v>
      </c>
      <c r="F15" s="601">
        <v>16312</v>
      </c>
      <c r="G15" s="601">
        <v>6954</v>
      </c>
      <c r="H15" s="93">
        <v>1</v>
      </c>
      <c r="I15" s="93">
        <v>1</v>
      </c>
      <c r="J15" s="81">
        <v>1</v>
      </c>
    </row>
    <row r="16" spans="1:10" x14ac:dyDescent="0.2">
      <c r="A16" s="87"/>
      <c r="B16" s="94" t="s">
        <v>180</v>
      </c>
      <c r="C16" s="93">
        <v>1</v>
      </c>
      <c r="D16" s="601">
        <v>13746</v>
      </c>
      <c r="E16" s="601">
        <v>523</v>
      </c>
      <c r="F16" s="601">
        <v>11238</v>
      </c>
      <c r="G16" s="601">
        <v>14422</v>
      </c>
      <c r="H16" s="93">
        <v>2</v>
      </c>
      <c r="I16" s="93">
        <v>1</v>
      </c>
      <c r="J16" s="81">
        <v>1</v>
      </c>
    </row>
    <row r="17" spans="1:10" x14ac:dyDescent="0.2">
      <c r="A17" s="82"/>
      <c r="B17" s="99" t="s">
        <v>22</v>
      </c>
      <c r="C17" s="100">
        <f t="shared" ref="C17:J17" si="0">SUM(C13:C16)</f>
        <v>7</v>
      </c>
      <c r="D17" s="100">
        <f t="shared" si="0"/>
        <v>136749</v>
      </c>
      <c r="E17" s="100">
        <f t="shared" si="0"/>
        <v>2973</v>
      </c>
      <c r="F17" s="100">
        <f t="shared" si="0"/>
        <v>90715</v>
      </c>
      <c r="G17" s="100">
        <f t="shared" si="0"/>
        <v>63624</v>
      </c>
      <c r="H17" s="100">
        <f t="shared" si="0"/>
        <v>10</v>
      </c>
      <c r="I17" s="100">
        <f t="shared" si="0"/>
        <v>7</v>
      </c>
      <c r="J17" s="101">
        <f t="shared" si="0"/>
        <v>7</v>
      </c>
    </row>
    <row r="18" spans="1:10" x14ac:dyDescent="0.2">
      <c r="A18" s="87"/>
      <c r="B18" s="102" t="s">
        <v>90</v>
      </c>
      <c r="J18" s="87"/>
    </row>
    <row r="19" spans="1:10" x14ac:dyDescent="0.2">
      <c r="A19" s="87"/>
      <c r="B19" s="103" t="s">
        <v>91</v>
      </c>
      <c r="C19" s="97">
        <v>1</v>
      </c>
      <c r="D19" s="601">
        <v>5100</v>
      </c>
      <c r="E19" s="601">
        <v>299</v>
      </c>
      <c r="F19" s="601">
        <v>6959</v>
      </c>
      <c r="G19" s="601">
        <v>5256</v>
      </c>
      <c r="H19" s="97">
        <v>1</v>
      </c>
      <c r="I19" s="97">
        <v>1</v>
      </c>
      <c r="J19" s="81">
        <v>1</v>
      </c>
    </row>
    <row r="20" spans="1:10" x14ac:dyDescent="0.2">
      <c r="A20" s="87"/>
      <c r="B20" s="103" t="s">
        <v>182</v>
      </c>
      <c r="C20" s="97">
        <v>1</v>
      </c>
      <c r="D20" s="601">
        <v>22141</v>
      </c>
      <c r="E20" s="601">
        <v>1081</v>
      </c>
      <c r="F20" s="601">
        <v>30545</v>
      </c>
      <c r="G20" s="601">
        <v>23708</v>
      </c>
      <c r="H20" s="97">
        <v>4</v>
      </c>
      <c r="I20" s="97">
        <v>1</v>
      </c>
      <c r="J20" s="81">
        <v>1</v>
      </c>
    </row>
    <row r="21" spans="1:10" x14ac:dyDescent="0.2">
      <c r="A21" s="87"/>
      <c r="B21" s="103" t="s">
        <v>183</v>
      </c>
      <c r="C21" s="97">
        <v>1</v>
      </c>
      <c r="D21" s="601">
        <v>14349</v>
      </c>
      <c r="E21" s="601">
        <v>509</v>
      </c>
      <c r="F21" s="601">
        <v>7494</v>
      </c>
      <c r="G21" s="601">
        <v>6097</v>
      </c>
      <c r="H21" s="97">
        <v>2</v>
      </c>
      <c r="I21" s="97">
        <v>1</v>
      </c>
      <c r="J21" s="81">
        <v>1</v>
      </c>
    </row>
    <row r="22" spans="1:10" x14ac:dyDescent="0.2">
      <c r="A22" s="87"/>
      <c r="B22" s="103" t="s">
        <v>92</v>
      </c>
      <c r="C22" s="97">
        <v>18</v>
      </c>
      <c r="D22" s="601">
        <v>240986</v>
      </c>
      <c r="E22" s="601" t="s">
        <v>281</v>
      </c>
      <c r="F22" s="601">
        <v>594376</v>
      </c>
      <c r="G22" s="601">
        <v>412690</v>
      </c>
      <c r="H22" s="97">
        <v>52</v>
      </c>
      <c r="I22" s="97">
        <v>18</v>
      </c>
      <c r="J22" s="81">
        <v>18</v>
      </c>
    </row>
    <row r="23" spans="1:10" x14ac:dyDescent="0.2">
      <c r="A23" s="87"/>
      <c r="B23" s="103" t="s">
        <v>184</v>
      </c>
      <c r="C23" s="97">
        <v>4</v>
      </c>
      <c r="D23" s="601">
        <v>32916</v>
      </c>
      <c r="E23" s="601">
        <v>1262</v>
      </c>
      <c r="F23" s="601">
        <v>21832</v>
      </c>
      <c r="G23" s="601">
        <v>22750</v>
      </c>
      <c r="H23" s="97">
        <v>6</v>
      </c>
      <c r="I23" s="97">
        <v>4</v>
      </c>
      <c r="J23" s="81">
        <v>4</v>
      </c>
    </row>
    <row r="24" spans="1:10" x14ac:dyDescent="0.2">
      <c r="A24" s="87"/>
      <c r="B24" s="103" t="s">
        <v>185</v>
      </c>
      <c r="C24" s="97">
        <v>2</v>
      </c>
      <c r="D24" s="601">
        <v>35613</v>
      </c>
      <c r="E24" s="601">
        <v>1802</v>
      </c>
      <c r="F24" s="601">
        <v>90831</v>
      </c>
      <c r="G24" s="601">
        <v>32127</v>
      </c>
      <c r="H24" s="97">
        <v>4</v>
      </c>
      <c r="I24" s="97">
        <v>2</v>
      </c>
      <c r="J24" s="81">
        <v>2</v>
      </c>
    </row>
    <row r="25" spans="1:10" x14ac:dyDescent="0.2">
      <c r="A25" s="87"/>
      <c r="B25" s="103" t="s">
        <v>186</v>
      </c>
      <c r="C25" s="97">
        <v>1</v>
      </c>
      <c r="D25" s="601">
        <v>10296</v>
      </c>
      <c r="E25" s="601">
        <v>327</v>
      </c>
      <c r="F25" s="601">
        <v>4382</v>
      </c>
      <c r="G25" s="601">
        <v>3757</v>
      </c>
      <c r="H25" s="97">
        <v>2</v>
      </c>
      <c r="I25" s="97">
        <v>1</v>
      </c>
      <c r="J25" s="81">
        <v>1</v>
      </c>
    </row>
    <row r="26" spans="1:10" x14ac:dyDescent="0.2">
      <c r="B26" s="104" t="s">
        <v>187</v>
      </c>
      <c r="C26" s="98">
        <v>1</v>
      </c>
      <c r="D26" s="601">
        <v>12771</v>
      </c>
      <c r="E26" s="601">
        <v>630</v>
      </c>
      <c r="F26" s="601">
        <v>15909</v>
      </c>
      <c r="G26" s="601">
        <v>10188</v>
      </c>
      <c r="H26" s="98">
        <v>2</v>
      </c>
      <c r="I26" s="98">
        <v>1</v>
      </c>
      <c r="J26" s="81">
        <v>1</v>
      </c>
    </row>
    <row r="27" spans="1:10" x14ac:dyDescent="0.2">
      <c r="B27" s="99" t="s">
        <v>22</v>
      </c>
      <c r="C27" s="100">
        <f t="shared" ref="C27:J27" si="1">SUM(C19:C26)</f>
        <v>29</v>
      </c>
      <c r="D27" s="100">
        <f>SUM(D19:D26)</f>
        <v>374172</v>
      </c>
      <c r="E27" s="100">
        <f>SUM(E19:E26)</f>
        <v>5910</v>
      </c>
      <c r="F27" s="100">
        <f t="shared" si="1"/>
        <v>772328</v>
      </c>
      <c r="G27" s="100">
        <f t="shared" si="1"/>
        <v>516573</v>
      </c>
      <c r="H27" s="100">
        <f t="shared" si="1"/>
        <v>73</v>
      </c>
      <c r="I27" s="100">
        <f t="shared" si="1"/>
        <v>29</v>
      </c>
      <c r="J27" s="101">
        <f t="shared" si="1"/>
        <v>29</v>
      </c>
    </row>
    <row r="28" spans="1:10" x14ac:dyDescent="0.2">
      <c r="B28" s="105" t="s">
        <v>93</v>
      </c>
      <c r="J28" s="87"/>
    </row>
    <row r="29" spans="1:10" x14ac:dyDescent="0.2">
      <c r="B29" s="104" t="s">
        <v>94</v>
      </c>
      <c r="C29" s="93">
        <v>10</v>
      </c>
      <c r="D29" s="601">
        <v>197512</v>
      </c>
      <c r="E29" s="601">
        <v>10119</v>
      </c>
      <c r="F29" s="601">
        <v>349849</v>
      </c>
      <c r="G29" s="601">
        <v>216808</v>
      </c>
      <c r="H29" s="93">
        <v>28</v>
      </c>
      <c r="I29" s="93">
        <v>10</v>
      </c>
      <c r="J29" s="81">
        <v>10</v>
      </c>
    </row>
    <row r="30" spans="1:10" x14ac:dyDescent="0.2">
      <c r="B30" s="104" t="s">
        <v>188</v>
      </c>
      <c r="C30" s="93">
        <v>1</v>
      </c>
      <c r="D30" s="601">
        <v>16909</v>
      </c>
      <c r="E30" s="601">
        <v>657</v>
      </c>
      <c r="F30" s="601">
        <v>15967</v>
      </c>
      <c r="G30" s="601">
        <v>9392</v>
      </c>
      <c r="H30" s="93">
        <v>2</v>
      </c>
      <c r="I30" s="93">
        <v>1</v>
      </c>
      <c r="J30" s="81">
        <v>1</v>
      </c>
    </row>
    <row r="31" spans="1:10" x14ac:dyDescent="0.2">
      <c r="B31" s="104" t="s">
        <v>189</v>
      </c>
      <c r="C31" s="93">
        <v>1</v>
      </c>
      <c r="D31" s="601">
        <v>15780</v>
      </c>
      <c r="E31" s="601">
        <v>306</v>
      </c>
      <c r="F31" s="601">
        <v>16568</v>
      </c>
      <c r="G31" s="601">
        <v>6983</v>
      </c>
      <c r="H31" s="93">
        <v>2</v>
      </c>
      <c r="I31" s="93">
        <v>1</v>
      </c>
      <c r="J31" s="81">
        <v>1</v>
      </c>
    </row>
    <row r="32" spans="1:10" x14ac:dyDescent="0.2">
      <c r="B32" s="104" t="s">
        <v>95</v>
      </c>
      <c r="C32" s="93">
        <v>2</v>
      </c>
      <c r="D32" s="601">
        <v>48916</v>
      </c>
      <c r="E32" s="601">
        <v>669</v>
      </c>
      <c r="F32" s="601">
        <v>12362</v>
      </c>
      <c r="G32" s="601">
        <v>9425</v>
      </c>
      <c r="H32" s="93">
        <v>3</v>
      </c>
      <c r="I32" s="93">
        <v>2</v>
      </c>
      <c r="J32" s="81">
        <v>2</v>
      </c>
    </row>
    <row r="33" spans="2:10" x14ac:dyDescent="0.2">
      <c r="B33" s="104" t="s">
        <v>190</v>
      </c>
      <c r="C33" s="93">
        <v>1</v>
      </c>
      <c r="D33" s="601">
        <v>4379</v>
      </c>
      <c r="E33" s="601">
        <v>80</v>
      </c>
      <c r="F33" s="601">
        <v>6269</v>
      </c>
      <c r="G33" s="601">
        <v>3316</v>
      </c>
      <c r="H33" s="93">
        <v>1</v>
      </c>
      <c r="I33" s="93">
        <v>1</v>
      </c>
      <c r="J33" s="81">
        <v>1</v>
      </c>
    </row>
    <row r="34" spans="2:10" x14ac:dyDescent="0.2">
      <c r="B34" s="99" t="s">
        <v>22</v>
      </c>
      <c r="C34" s="101">
        <f t="shared" ref="C34:J34" si="2">SUM(C29:C33)</f>
        <v>15</v>
      </c>
      <c r="D34" s="100">
        <f t="shared" si="2"/>
        <v>283496</v>
      </c>
      <c r="E34" s="100">
        <f t="shared" si="2"/>
        <v>11831</v>
      </c>
      <c r="F34" s="100">
        <f t="shared" si="2"/>
        <v>401015</v>
      </c>
      <c r="G34" s="100">
        <f t="shared" si="2"/>
        <v>245924</v>
      </c>
      <c r="H34" s="100">
        <f t="shared" si="2"/>
        <v>36</v>
      </c>
      <c r="I34" s="100">
        <f t="shared" si="2"/>
        <v>15</v>
      </c>
      <c r="J34" s="101">
        <f t="shared" si="2"/>
        <v>15</v>
      </c>
    </row>
    <row r="35" spans="2:10" x14ac:dyDescent="0.2">
      <c r="B35" s="105" t="s">
        <v>97</v>
      </c>
      <c r="C35" s="82"/>
      <c r="D35" s="82"/>
      <c r="E35" s="82"/>
      <c r="J35" s="87"/>
    </row>
    <row r="36" spans="2:10" x14ac:dyDescent="0.2">
      <c r="B36" s="104" t="s">
        <v>100</v>
      </c>
      <c r="C36" s="97">
        <v>1</v>
      </c>
      <c r="D36" s="601">
        <v>17678</v>
      </c>
      <c r="E36" s="601">
        <v>1566</v>
      </c>
      <c r="F36" s="601">
        <v>32673</v>
      </c>
      <c r="G36" s="601">
        <v>36944</v>
      </c>
      <c r="H36" s="97">
        <v>4</v>
      </c>
      <c r="I36" s="97">
        <v>1</v>
      </c>
      <c r="J36" s="81">
        <v>1</v>
      </c>
    </row>
    <row r="37" spans="2:10" x14ac:dyDescent="0.2">
      <c r="B37" s="104" t="s">
        <v>192</v>
      </c>
      <c r="C37" s="97">
        <v>2</v>
      </c>
      <c r="D37" s="601">
        <v>19096</v>
      </c>
      <c r="E37" s="601">
        <v>799</v>
      </c>
      <c r="F37" s="601">
        <v>11579</v>
      </c>
      <c r="G37" s="601">
        <v>6652</v>
      </c>
      <c r="H37" s="97">
        <v>3</v>
      </c>
      <c r="I37" s="97">
        <v>2</v>
      </c>
      <c r="J37" s="81">
        <v>2</v>
      </c>
    </row>
    <row r="38" spans="2:10" x14ac:dyDescent="0.2">
      <c r="B38" s="104" t="s">
        <v>193</v>
      </c>
      <c r="C38" s="98">
        <v>2</v>
      </c>
      <c r="D38" s="601">
        <v>39192</v>
      </c>
      <c r="E38" s="601">
        <v>1668</v>
      </c>
      <c r="F38" s="601">
        <v>38499</v>
      </c>
      <c r="G38" s="601">
        <v>19944</v>
      </c>
      <c r="H38" s="98">
        <v>5</v>
      </c>
      <c r="I38" s="98">
        <v>2</v>
      </c>
      <c r="J38" s="81">
        <v>2</v>
      </c>
    </row>
    <row r="39" spans="2:10" x14ac:dyDescent="0.2">
      <c r="B39" s="99" t="s">
        <v>22</v>
      </c>
      <c r="C39" s="101">
        <f t="shared" ref="C39:J39" si="3">SUM(C36:C38)</f>
        <v>5</v>
      </c>
      <c r="D39" s="101">
        <f t="shared" si="3"/>
        <v>75966</v>
      </c>
      <c r="E39" s="101">
        <f t="shared" si="3"/>
        <v>4033</v>
      </c>
      <c r="F39" s="101">
        <f t="shared" si="3"/>
        <v>82751</v>
      </c>
      <c r="G39" s="101">
        <f t="shared" si="3"/>
        <v>63540</v>
      </c>
      <c r="H39" s="101">
        <f t="shared" si="3"/>
        <v>12</v>
      </c>
      <c r="I39" s="101">
        <f t="shared" si="3"/>
        <v>5</v>
      </c>
      <c r="J39" s="101">
        <f t="shared" si="3"/>
        <v>5</v>
      </c>
    </row>
    <row r="40" spans="2:10" x14ac:dyDescent="0.2">
      <c r="B40" s="105" t="s">
        <v>101</v>
      </c>
      <c r="J40" s="81"/>
    </row>
    <row r="41" spans="2:10" x14ac:dyDescent="0.2">
      <c r="B41" s="104" t="s">
        <v>194</v>
      </c>
      <c r="C41" s="97">
        <v>1</v>
      </c>
      <c r="D41" s="601">
        <v>10839</v>
      </c>
      <c r="E41" s="601">
        <v>208</v>
      </c>
      <c r="F41" s="601">
        <v>11012</v>
      </c>
      <c r="G41" s="601">
        <v>6302</v>
      </c>
      <c r="H41" s="97">
        <v>2</v>
      </c>
      <c r="I41" s="97">
        <v>1</v>
      </c>
      <c r="J41" s="81">
        <v>1</v>
      </c>
    </row>
    <row r="42" spans="2:10" x14ac:dyDescent="0.2">
      <c r="B42" s="104" t="s">
        <v>195</v>
      </c>
      <c r="C42" s="97">
        <v>1</v>
      </c>
      <c r="D42" s="601">
        <v>15065</v>
      </c>
      <c r="E42" s="601">
        <v>493</v>
      </c>
      <c r="F42" s="601">
        <v>7508</v>
      </c>
      <c r="G42" s="601">
        <v>3000</v>
      </c>
      <c r="H42" s="97">
        <v>2</v>
      </c>
      <c r="I42" s="97">
        <v>1</v>
      </c>
      <c r="J42" s="81">
        <v>1</v>
      </c>
    </row>
    <row r="43" spans="2:10" x14ac:dyDescent="0.2">
      <c r="B43" s="104" t="s">
        <v>102</v>
      </c>
      <c r="C43" s="97">
        <v>2</v>
      </c>
      <c r="D43" s="601">
        <v>32967</v>
      </c>
      <c r="E43" s="601">
        <v>1610</v>
      </c>
      <c r="F43" s="601">
        <v>41920</v>
      </c>
      <c r="G43" s="601">
        <v>22153</v>
      </c>
      <c r="H43" s="97">
        <v>8</v>
      </c>
      <c r="I43" s="97">
        <v>2</v>
      </c>
      <c r="J43" s="81">
        <v>2</v>
      </c>
    </row>
    <row r="44" spans="2:10" x14ac:dyDescent="0.2">
      <c r="B44" s="104" t="s">
        <v>196</v>
      </c>
      <c r="C44" s="97">
        <v>1</v>
      </c>
      <c r="D44" s="601">
        <v>14503</v>
      </c>
      <c r="E44" s="601">
        <v>284</v>
      </c>
      <c r="F44" s="601">
        <v>41620</v>
      </c>
      <c r="G44" s="601">
        <v>4793</v>
      </c>
      <c r="H44" s="97">
        <v>2</v>
      </c>
      <c r="I44" s="97">
        <v>1</v>
      </c>
      <c r="J44" s="81">
        <v>1</v>
      </c>
    </row>
    <row r="45" spans="2:10" x14ac:dyDescent="0.2">
      <c r="B45" s="104" t="s">
        <v>197</v>
      </c>
      <c r="C45" s="97">
        <v>1</v>
      </c>
      <c r="D45" s="601">
        <v>14312</v>
      </c>
      <c r="E45" s="601" t="s">
        <v>281</v>
      </c>
      <c r="F45" s="601">
        <v>17664</v>
      </c>
      <c r="G45" s="601">
        <v>14735</v>
      </c>
      <c r="H45" s="97">
        <v>2</v>
      </c>
      <c r="I45" s="97">
        <v>1</v>
      </c>
      <c r="J45" s="81">
        <v>1</v>
      </c>
    </row>
    <row r="46" spans="2:10" x14ac:dyDescent="0.2">
      <c r="B46" s="104" t="s">
        <v>198</v>
      </c>
      <c r="C46" s="98">
        <v>3</v>
      </c>
      <c r="D46" s="601">
        <v>39521</v>
      </c>
      <c r="E46" s="601">
        <v>961</v>
      </c>
      <c r="F46" s="601">
        <v>43828</v>
      </c>
      <c r="G46" s="601">
        <v>25987</v>
      </c>
      <c r="H46" s="98">
        <v>5</v>
      </c>
      <c r="I46" s="98">
        <v>3</v>
      </c>
      <c r="J46" s="81">
        <v>3</v>
      </c>
    </row>
    <row r="47" spans="2:10" x14ac:dyDescent="0.2">
      <c r="B47" s="99" t="s">
        <v>22</v>
      </c>
      <c r="C47" s="100">
        <f t="shared" ref="C47:J47" si="4">SUM(C41:C46)</f>
        <v>9</v>
      </c>
      <c r="D47" s="100">
        <f t="shared" si="4"/>
        <v>127207</v>
      </c>
      <c r="E47" s="100">
        <f t="shared" si="4"/>
        <v>3556</v>
      </c>
      <c r="F47" s="100">
        <f t="shared" si="4"/>
        <v>163552</v>
      </c>
      <c r="G47" s="100">
        <f t="shared" si="4"/>
        <v>76970</v>
      </c>
      <c r="H47" s="100">
        <f t="shared" si="4"/>
        <v>21</v>
      </c>
      <c r="I47" s="100">
        <f t="shared" si="4"/>
        <v>9</v>
      </c>
      <c r="J47" s="101">
        <f t="shared" si="4"/>
        <v>9</v>
      </c>
    </row>
    <row r="64" spans="2:10" x14ac:dyDescent="0.2">
      <c r="B64" s="929" t="s">
        <v>84</v>
      </c>
      <c r="C64" s="929" t="s">
        <v>85</v>
      </c>
      <c r="D64" s="929" t="s">
        <v>67</v>
      </c>
      <c r="E64" s="929" t="s">
        <v>68</v>
      </c>
      <c r="F64" s="929" t="s">
        <v>69</v>
      </c>
      <c r="G64" s="929" t="s">
        <v>70</v>
      </c>
      <c r="H64" s="929" t="s">
        <v>222</v>
      </c>
      <c r="I64" s="932" t="s">
        <v>223</v>
      </c>
      <c r="J64" s="933"/>
    </row>
    <row r="65" spans="1:10" x14ac:dyDescent="0.2">
      <c r="B65" s="930"/>
      <c r="C65" s="930"/>
      <c r="D65" s="930"/>
      <c r="E65" s="930"/>
      <c r="F65" s="930"/>
      <c r="G65" s="930"/>
      <c r="H65" s="930"/>
      <c r="I65" s="934"/>
      <c r="J65" s="935"/>
    </row>
    <row r="66" spans="1:10" ht="22.5" customHeight="1" x14ac:dyDescent="0.2">
      <c r="B66" s="931"/>
      <c r="C66" s="931"/>
      <c r="D66" s="931"/>
      <c r="E66" s="931"/>
      <c r="F66" s="931"/>
      <c r="G66" s="931"/>
      <c r="H66" s="931"/>
      <c r="I66" s="88" t="s">
        <v>73</v>
      </c>
      <c r="J66" s="89" t="s">
        <v>86</v>
      </c>
    </row>
    <row r="67" spans="1:10" x14ac:dyDescent="0.2">
      <c r="B67" s="90">
        <v>1</v>
      </c>
      <c r="C67" s="90">
        <v>2</v>
      </c>
      <c r="D67" s="90">
        <v>3</v>
      </c>
      <c r="E67" s="90">
        <v>4</v>
      </c>
      <c r="F67" s="90">
        <v>5</v>
      </c>
      <c r="G67" s="90">
        <v>6</v>
      </c>
      <c r="H67" s="90">
        <v>7</v>
      </c>
      <c r="I67" s="90">
        <v>8</v>
      </c>
      <c r="J67" s="106">
        <v>9</v>
      </c>
    </row>
    <row r="68" spans="1:10" x14ac:dyDescent="0.2">
      <c r="A68" s="87"/>
      <c r="B68" s="91" t="s">
        <v>103</v>
      </c>
      <c r="J68" s="87"/>
    </row>
    <row r="69" spans="1:10" x14ac:dyDescent="0.2">
      <c r="B69" s="107" t="s">
        <v>199</v>
      </c>
      <c r="C69" s="93">
        <v>2</v>
      </c>
      <c r="D69" s="601">
        <v>37074</v>
      </c>
      <c r="E69" s="601">
        <v>1293</v>
      </c>
      <c r="F69" s="601">
        <v>20739</v>
      </c>
      <c r="G69" s="601">
        <v>8314</v>
      </c>
      <c r="H69" s="93">
        <v>4</v>
      </c>
      <c r="I69" s="93">
        <v>2</v>
      </c>
      <c r="J69" s="81">
        <v>2</v>
      </c>
    </row>
    <row r="70" spans="1:10" x14ac:dyDescent="0.2">
      <c r="B70" s="107" t="s">
        <v>200</v>
      </c>
      <c r="C70" s="93">
        <v>1</v>
      </c>
      <c r="D70" s="601">
        <v>13613</v>
      </c>
      <c r="E70" s="601">
        <v>525</v>
      </c>
      <c r="F70" s="601">
        <v>21136</v>
      </c>
      <c r="G70" s="601">
        <v>10293</v>
      </c>
      <c r="H70" s="93">
        <v>2</v>
      </c>
      <c r="I70" s="93">
        <v>1</v>
      </c>
      <c r="J70" s="81">
        <v>1</v>
      </c>
    </row>
    <row r="71" spans="1:10" x14ac:dyDescent="0.2">
      <c r="B71" s="107" t="s">
        <v>201</v>
      </c>
      <c r="C71" s="93">
        <v>2</v>
      </c>
      <c r="D71" s="601">
        <v>19777</v>
      </c>
      <c r="E71" s="601">
        <v>855</v>
      </c>
      <c r="F71" s="601">
        <v>14174</v>
      </c>
      <c r="G71" s="601">
        <v>18242</v>
      </c>
      <c r="H71" s="93">
        <v>4</v>
      </c>
      <c r="I71" s="93">
        <v>2</v>
      </c>
      <c r="J71" s="81">
        <v>2</v>
      </c>
    </row>
    <row r="72" spans="1:10" x14ac:dyDescent="0.2">
      <c r="B72" s="107" t="s">
        <v>202</v>
      </c>
      <c r="C72" s="93">
        <v>1</v>
      </c>
      <c r="D72" s="601">
        <v>12361</v>
      </c>
      <c r="E72" s="601">
        <v>233</v>
      </c>
      <c r="F72" s="601">
        <v>11133</v>
      </c>
      <c r="G72" s="601">
        <v>6949</v>
      </c>
      <c r="H72" s="93">
        <v>2</v>
      </c>
      <c r="I72" s="93">
        <v>1</v>
      </c>
      <c r="J72" s="81">
        <v>1</v>
      </c>
    </row>
    <row r="73" spans="1:10" x14ac:dyDescent="0.2">
      <c r="B73" s="107" t="s">
        <v>203</v>
      </c>
      <c r="C73" s="93">
        <v>1</v>
      </c>
      <c r="D73" s="601">
        <v>20183</v>
      </c>
      <c r="E73" s="601">
        <v>612</v>
      </c>
      <c r="F73" s="601">
        <v>11020</v>
      </c>
      <c r="G73" s="601">
        <v>18440</v>
      </c>
      <c r="H73" s="93">
        <v>2</v>
      </c>
      <c r="I73" s="93">
        <v>1</v>
      </c>
      <c r="J73" s="81">
        <v>1</v>
      </c>
    </row>
    <row r="74" spans="1:10" x14ac:dyDescent="0.2">
      <c r="B74" s="107" t="s">
        <v>104</v>
      </c>
      <c r="C74" s="93">
        <v>5</v>
      </c>
      <c r="D74" s="601">
        <v>110553</v>
      </c>
      <c r="E74" s="601">
        <v>1945</v>
      </c>
      <c r="F74" s="601">
        <v>77058</v>
      </c>
      <c r="G74" s="601">
        <v>60325</v>
      </c>
      <c r="H74" s="93">
        <v>12</v>
      </c>
      <c r="I74" s="93">
        <v>5</v>
      </c>
      <c r="J74" s="81">
        <v>5</v>
      </c>
    </row>
    <row r="75" spans="1:10" x14ac:dyDescent="0.2">
      <c r="B75" s="107" t="s">
        <v>204</v>
      </c>
      <c r="C75" s="98">
        <v>0</v>
      </c>
      <c r="D75" s="601">
        <v>0</v>
      </c>
      <c r="E75" s="601">
        <v>0</v>
      </c>
      <c r="F75" s="601">
        <v>0</v>
      </c>
      <c r="G75" s="601">
        <v>0</v>
      </c>
      <c r="H75" s="601">
        <v>0</v>
      </c>
      <c r="I75" s="98">
        <v>0</v>
      </c>
      <c r="J75" s="81">
        <v>0</v>
      </c>
    </row>
    <row r="76" spans="1:10" x14ac:dyDescent="0.2">
      <c r="B76" s="108" t="s">
        <v>22</v>
      </c>
      <c r="C76" s="100">
        <f t="shared" ref="C76:J76" si="5">SUM(C69:C75)</f>
        <v>12</v>
      </c>
      <c r="D76" s="100">
        <f t="shared" si="5"/>
        <v>213561</v>
      </c>
      <c r="E76" s="100">
        <f>SUM(E69:E75)</f>
        <v>5463</v>
      </c>
      <c r="F76" s="100">
        <f t="shared" si="5"/>
        <v>155260</v>
      </c>
      <c r="G76" s="100">
        <f t="shared" si="5"/>
        <v>122563</v>
      </c>
      <c r="H76" s="100">
        <f t="shared" si="5"/>
        <v>26</v>
      </c>
      <c r="I76" s="100">
        <f t="shared" si="5"/>
        <v>12</v>
      </c>
      <c r="J76" s="101">
        <f t="shared" si="5"/>
        <v>12</v>
      </c>
    </row>
    <row r="77" spans="1:10" x14ac:dyDescent="0.2">
      <c r="B77" s="109" t="s">
        <v>105</v>
      </c>
      <c r="C77" s="93"/>
      <c r="D77" s="93"/>
      <c r="E77" s="93"/>
      <c r="F77" s="93"/>
      <c r="G77" s="93"/>
      <c r="H77" s="93"/>
      <c r="I77" s="93"/>
      <c r="J77" s="81"/>
    </row>
    <row r="78" spans="1:10" x14ac:dyDescent="0.2">
      <c r="B78" s="107" t="s">
        <v>205</v>
      </c>
      <c r="C78" s="93">
        <v>1</v>
      </c>
      <c r="D78" s="601">
        <v>10204</v>
      </c>
      <c r="E78" s="601">
        <v>121</v>
      </c>
      <c r="F78" s="601">
        <v>4216</v>
      </c>
      <c r="G78" s="601">
        <v>3340</v>
      </c>
      <c r="H78" s="93">
        <v>1</v>
      </c>
      <c r="I78" s="93">
        <v>1</v>
      </c>
      <c r="J78" s="81">
        <v>1</v>
      </c>
    </row>
    <row r="79" spans="1:10" x14ac:dyDescent="0.2">
      <c r="B79" s="107" t="s">
        <v>207</v>
      </c>
      <c r="C79" s="98">
        <v>2</v>
      </c>
      <c r="D79" s="601">
        <v>26518</v>
      </c>
      <c r="E79" s="601" t="s">
        <v>281</v>
      </c>
      <c r="F79" s="601">
        <v>8181</v>
      </c>
      <c r="G79" s="601">
        <v>10801</v>
      </c>
      <c r="H79" s="98">
        <v>4</v>
      </c>
      <c r="I79" s="98">
        <v>2</v>
      </c>
      <c r="J79" s="81">
        <v>2</v>
      </c>
    </row>
    <row r="80" spans="1:10" x14ac:dyDescent="0.2">
      <c r="B80" s="108" t="s">
        <v>22</v>
      </c>
      <c r="C80" s="100">
        <f t="shared" ref="C80:J80" si="6">SUM(C78:C79)</f>
        <v>3</v>
      </c>
      <c r="D80" s="100">
        <f t="shared" si="6"/>
        <v>36722</v>
      </c>
      <c r="E80" s="100">
        <f t="shared" si="6"/>
        <v>121</v>
      </c>
      <c r="F80" s="100">
        <f t="shared" si="6"/>
        <v>12397</v>
      </c>
      <c r="G80" s="100">
        <f t="shared" si="6"/>
        <v>14141</v>
      </c>
      <c r="H80" s="100">
        <f t="shared" si="6"/>
        <v>5</v>
      </c>
      <c r="I80" s="100">
        <f t="shared" si="6"/>
        <v>3</v>
      </c>
      <c r="J80" s="101">
        <f t="shared" si="6"/>
        <v>3</v>
      </c>
    </row>
    <row r="81" spans="2:10" x14ac:dyDescent="0.2">
      <c r="B81" s="109" t="s">
        <v>107</v>
      </c>
      <c r="C81" s="93"/>
      <c r="D81" s="93"/>
      <c r="E81" s="93"/>
      <c r="F81" s="93"/>
      <c r="G81" s="93"/>
      <c r="H81" s="93"/>
      <c r="I81" s="93"/>
      <c r="J81" s="81"/>
    </row>
    <row r="82" spans="2:10" x14ac:dyDescent="0.2">
      <c r="B82" s="107" t="s">
        <v>208</v>
      </c>
      <c r="C82" s="93">
        <v>4</v>
      </c>
      <c r="D82" s="601">
        <v>36902</v>
      </c>
      <c r="E82" s="601">
        <v>1589</v>
      </c>
      <c r="F82" s="601">
        <v>31881</v>
      </c>
      <c r="G82" s="601">
        <v>22520</v>
      </c>
      <c r="H82" s="93">
        <v>8</v>
      </c>
      <c r="I82" s="93">
        <v>4</v>
      </c>
      <c r="J82" s="81">
        <v>4</v>
      </c>
    </row>
    <row r="83" spans="2:10" x14ac:dyDescent="0.2">
      <c r="B83" s="107" t="s">
        <v>209</v>
      </c>
      <c r="C83" s="93">
        <v>1</v>
      </c>
      <c r="D83" s="601">
        <v>14053</v>
      </c>
      <c r="E83" s="601">
        <v>738</v>
      </c>
      <c r="F83" s="601">
        <v>18884</v>
      </c>
      <c r="G83" s="601">
        <v>22579</v>
      </c>
      <c r="H83" s="93">
        <v>2</v>
      </c>
      <c r="I83" s="93">
        <v>1</v>
      </c>
      <c r="J83" s="81">
        <v>1</v>
      </c>
    </row>
    <row r="84" spans="2:10" x14ac:dyDescent="0.2">
      <c r="B84" s="107" t="s">
        <v>210</v>
      </c>
      <c r="C84" s="93">
        <v>2</v>
      </c>
      <c r="D84" s="601">
        <v>29689</v>
      </c>
      <c r="E84" s="601">
        <v>999</v>
      </c>
      <c r="F84" s="601">
        <v>29244</v>
      </c>
      <c r="G84" s="601">
        <v>14916</v>
      </c>
      <c r="H84" s="93">
        <v>4</v>
      </c>
      <c r="I84" s="93">
        <v>2</v>
      </c>
      <c r="J84" s="81">
        <v>2</v>
      </c>
    </row>
    <row r="85" spans="2:10" x14ac:dyDescent="0.2">
      <c r="B85" s="108" t="s">
        <v>22</v>
      </c>
      <c r="C85" s="101">
        <f>SUM(C82:C84)</f>
        <v>7</v>
      </c>
      <c r="D85" s="101">
        <f>SUM(D82:D84)</f>
        <v>80644</v>
      </c>
      <c r="E85" s="101">
        <f>SUM(E81:E84)</f>
        <v>3326</v>
      </c>
      <c r="F85" s="101">
        <f>SUM(F82:F84)</f>
        <v>80009</v>
      </c>
      <c r="G85" s="101">
        <f>SUM(G82:G84)</f>
        <v>60015</v>
      </c>
      <c r="H85" s="101">
        <f>SUM(H82:H84)</f>
        <v>14</v>
      </c>
      <c r="I85" s="101">
        <f>SUM(I82:I84)</f>
        <v>7</v>
      </c>
      <c r="J85" s="101">
        <f>SUM(J82:J84)</f>
        <v>7</v>
      </c>
    </row>
    <row r="86" spans="2:10" x14ac:dyDescent="0.2">
      <c r="B86" s="109" t="s">
        <v>109</v>
      </c>
      <c r="C86" s="93"/>
      <c r="D86" s="93"/>
      <c r="E86" s="93"/>
      <c r="F86" s="93"/>
      <c r="G86" s="93"/>
      <c r="H86" s="93"/>
      <c r="I86" s="93"/>
      <c r="J86" s="81"/>
    </row>
    <row r="87" spans="2:10" x14ac:dyDescent="0.2">
      <c r="B87" s="107" t="s">
        <v>211</v>
      </c>
      <c r="C87" s="93">
        <v>2</v>
      </c>
      <c r="D87" s="601">
        <v>18417</v>
      </c>
      <c r="E87" s="601">
        <v>752</v>
      </c>
      <c r="F87" s="601">
        <v>19456</v>
      </c>
      <c r="G87" s="601">
        <v>12041</v>
      </c>
      <c r="H87" s="93">
        <v>5</v>
      </c>
      <c r="I87" s="93">
        <v>2</v>
      </c>
      <c r="J87" s="81">
        <v>2</v>
      </c>
    </row>
    <row r="88" spans="2:10" x14ac:dyDescent="0.2">
      <c r="B88" s="107" t="s">
        <v>212</v>
      </c>
      <c r="C88" s="93">
        <v>1</v>
      </c>
      <c r="D88" s="601">
        <v>9815</v>
      </c>
      <c r="E88" s="601">
        <v>74</v>
      </c>
      <c r="F88" s="601">
        <v>2436</v>
      </c>
      <c r="G88" s="601">
        <v>2490</v>
      </c>
      <c r="H88" s="93">
        <v>2</v>
      </c>
      <c r="I88" s="93">
        <v>1</v>
      </c>
      <c r="J88" s="81">
        <v>1</v>
      </c>
    </row>
    <row r="89" spans="2:10" x14ac:dyDescent="0.2">
      <c r="B89" s="107" t="s">
        <v>214</v>
      </c>
      <c r="C89" s="93">
        <v>2</v>
      </c>
      <c r="D89" s="601">
        <v>45689</v>
      </c>
      <c r="E89" s="601">
        <v>734</v>
      </c>
      <c r="F89" s="601">
        <v>41863</v>
      </c>
      <c r="G89" s="601">
        <v>30564</v>
      </c>
      <c r="H89" s="93">
        <v>6</v>
      </c>
      <c r="I89" s="93">
        <v>2</v>
      </c>
      <c r="J89" s="81">
        <v>2</v>
      </c>
    </row>
    <row r="90" spans="2:10" x14ac:dyDescent="0.2">
      <c r="B90" s="107" t="s">
        <v>110</v>
      </c>
      <c r="C90" s="93">
        <v>1</v>
      </c>
      <c r="D90" s="601">
        <v>45504</v>
      </c>
      <c r="E90" s="601">
        <v>407</v>
      </c>
      <c r="F90" s="601">
        <v>10159</v>
      </c>
      <c r="G90" s="601">
        <v>11287</v>
      </c>
      <c r="H90" s="93">
        <v>5</v>
      </c>
      <c r="I90" s="93">
        <v>1</v>
      </c>
      <c r="J90" s="81">
        <v>1</v>
      </c>
    </row>
    <row r="91" spans="2:10" ht="12.75" customHeight="1" x14ac:dyDescent="0.2">
      <c r="B91" s="107" t="s">
        <v>215</v>
      </c>
      <c r="C91" s="98">
        <v>3</v>
      </c>
      <c r="D91" s="98">
        <v>29057</v>
      </c>
      <c r="E91" s="93">
        <v>1302</v>
      </c>
      <c r="F91" s="98">
        <v>32302</v>
      </c>
      <c r="G91" s="98">
        <v>19244</v>
      </c>
      <c r="H91" s="98">
        <v>6</v>
      </c>
      <c r="I91" s="98">
        <v>3</v>
      </c>
      <c r="J91" s="81">
        <v>3</v>
      </c>
    </row>
    <row r="92" spans="2:10" ht="14.25" customHeight="1" x14ac:dyDescent="0.2">
      <c r="B92" s="108" t="s">
        <v>22</v>
      </c>
      <c r="C92" s="100">
        <f>SUM(C87:C91)</f>
        <v>9</v>
      </c>
      <c r="D92" s="100">
        <f>SUM(D87:D91)</f>
        <v>148482</v>
      </c>
      <c r="E92" s="100">
        <f>SUM(E86:E91)</f>
        <v>3269</v>
      </c>
      <c r="F92" s="100">
        <f>SUM(F87:F91)</f>
        <v>106216</v>
      </c>
      <c r="G92" s="100">
        <f>SUM(G87:G91)</f>
        <v>75626</v>
      </c>
      <c r="H92" s="100">
        <f>SUM(H87:H91)</f>
        <v>24</v>
      </c>
      <c r="I92" s="100">
        <f>SUM(I87:I91)</f>
        <v>9</v>
      </c>
      <c r="J92" s="101">
        <f>SUM(J87:J91)</f>
        <v>9</v>
      </c>
    </row>
    <row r="93" spans="2:10" x14ac:dyDescent="0.2">
      <c r="B93" s="109" t="s">
        <v>111</v>
      </c>
      <c r="C93" s="93"/>
      <c r="D93" s="93"/>
      <c r="E93" s="93"/>
      <c r="F93" s="93"/>
      <c r="G93" s="93"/>
      <c r="H93" s="93"/>
      <c r="I93" s="93"/>
      <c r="J93" s="81"/>
    </row>
    <row r="94" spans="2:10" x14ac:dyDescent="0.2">
      <c r="B94" s="107" t="s">
        <v>112</v>
      </c>
      <c r="C94" s="93">
        <v>1</v>
      </c>
      <c r="D94" s="601">
        <v>24987</v>
      </c>
      <c r="E94" s="601" t="s">
        <v>281</v>
      </c>
      <c r="F94" s="601">
        <v>7924</v>
      </c>
      <c r="G94" s="601">
        <v>8961</v>
      </c>
      <c r="H94" s="93">
        <v>3</v>
      </c>
      <c r="I94" s="93">
        <v>1</v>
      </c>
      <c r="J94" s="81">
        <v>1</v>
      </c>
    </row>
    <row r="95" spans="2:10" x14ac:dyDescent="0.2">
      <c r="B95" s="107" t="s">
        <v>216</v>
      </c>
      <c r="C95" s="93">
        <v>2</v>
      </c>
      <c r="D95" s="601">
        <v>36366</v>
      </c>
      <c r="E95" s="601">
        <v>1310</v>
      </c>
      <c r="F95" s="601">
        <v>32590</v>
      </c>
      <c r="G95" s="601">
        <v>21092</v>
      </c>
      <c r="H95" s="93">
        <v>6</v>
      </c>
      <c r="I95" s="93">
        <v>2</v>
      </c>
      <c r="J95" s="81">
        <v>2</v>
      </c>
    </row>
    <row r="96" spans="2:10" x14ac:dyDescent="0.2">
      <c r="B96" s="107" t="s">
        <v>218</v>
      </c>
      <c r="C96" s="93">
        <v>2</v>
      </c>
      <c r="D96" s="601">
        <v>41123</v>
      </c>
      <c r="E96" s="601">
        <v>2434</v>
      </c>
      <c r="F96" s="601">
        <v>55597</v>
      </c>
      <c r="G96" s="601">
        <v>22279</v>
      </c>
      <c r="H96" s="93">
        <v>6</v>
      </c>
      <c r="I96" s="93">
        <v>2</v>
      </c>
      <c r="J96" s="81">
        <v>2</v>
      </c>
    </row>
    <row r="97" spans="2:10" x14ac:dyDescent="0.2">
      <c r="B97" s="107" t="s">
        <v>219</v>
      </c>
      <c r="C97" s="93">
        <v>2</v>
      </c>
      <c r="D97" s="601">
        <v>56020</v>
      </c>
      <c r="E97" s="601" t="s">
        <v>281</v>
      </c>
      <c r="F97" s="601">
        <v>101984</v>
      </c>
      <c r="G97" s="601">
        <v>56769</v>
      </c>
      <c r="H97" s="93">
        <v>8</v>
      </c>
      <c r="I97" s="93">
        <v>2</v>
      </c>
      <c r="J97" s="81">
        <v>2</v>
      </c>
    </row>
    <row r="98" spans="2:10" x14ac:dyDescent="0.2">
      <c r="B98" s="107" t="s">
        <v>113</v>
      </c>
      <c r="C98" s="93">
        <v>14</v>
      </c>
      <c r="D98" s="601">
        <v>332602</v>
      </c>
      <c r="E98" s="601">
        <v>18255</v>
      </c>
      <c r="F98" s="601">
        <v>621379</v>
      </c>
      <c r="G98" s="601">
        <v>466695</v>
      </c>
      <c r="H98" s="93">
        <v>70</v>
      </c>
      <c r="I98" s="93">
        <v>14</v>
      </c>
      <c r="J98" s="81">
        <v>14</v>
      </c>
    </row>
    <row r="99" spans="2:10" x14ac:dyDescent="0.2">
      <c r="B99" s="107" t="s">
        <v>221</v>
      </c>
      <c r="C99" s="98">
        <v>1</v>
      </c>
      <c r="D99" s="601">
        <v>19212</v>
      </c>
      <c r="E99" s="601">
        <v>556</v>
      </c>
      <c r="F99" s="601">
        <v>11663</v>
      </c>
      <c r="G99" s="601">
        <v>6090</v>
      </c>
      <c r="H99" s="98">
        <v>2</v>
      </c>
      <c r="I99" s="98">
        <v>1</v>
      </c>
      <c r="J99" s="81">
        <v>1</v>
      </c>
    </row>
    <row r="100" spans="2:10" x14ac:dyDescent="0.2">
      <c r="B100" s="125" t="s">
        <v>22</v>
      </c>
      <c r="C100" s="126">
        <f>SUM(C94:C99)</f>
        <v>22</v>
      </c>
      <c r="D100" s="126">
        <f>SUM(D94:D99)</f>
        <v>510310</v>
      </c>
      <c r="E100" s="126">
        <f>SUM(E93:E99)</f>
        <v>22555</v>
      </c>
      <c r="F100" s="126">
        <f>SUM(F94:F99)</f>
        <v>831137</v>
      </c>
      <c r="G100" s="126">
        <f>SUM(G94:G99)</f>
        <v>581886</v>
      </c>
      <c r="H100" s="126">
        <f>SUM(H94:H99)</f>
        <v>95</v>
      </c>
      <c r="I100" s="126">
        <f>SUM(I94:I99)</f>
        <v>22</v>
      </c>
      <c r="J100" s="127">
        <f>SUM(J94:J99)</f>
        <v>22</v>
      </c>
    </row>
    <row r="101" spans="2:10" x14ac:dyDescent="0.2">
      <c r="B101" s="139" t="s">
        <v>115</v>
      </c>
      <c r="C101" s="140">
        <f t="shared" ref="C101:J101" si="7">SUM(C100,C92,C85,C80,C76,C47,C39,C34,C27,C17)</f>
        <v>118</v>
      </c>
      <c r="D101" s="140">
        <f t="shared" si="7"/>
        <v>1987309</v>
      </c>
      <c r="E101" s="140">
        <f t="shared" si="7"/>
        <v>63037</v>
      </c>
      <c r="F101" s="144">
        <f t="shared" si="7"/>
        <v>2695380</v>
      </c>
      <c r="G101" s="140">
        <f t="shared" si="7"/>
        <v>1820862</v>
      </c>
      <c r="H101" s="140">
        <f t="shared" si="7"/>
        <v>316</v>
      </c>
      <c r="I101" s="140">
        <f t="shared" si="7"/>
        <v>118</v>
      </c>
      <c r="J101" s="144">
        <f t="shared" si="7"/>
        <v>118</v>
      </c>
    </row>
    <row r="102" spans="2:10" ht="15" customHeight="1" x14ac:dyDescent="0.2">
      <c r="B102" s="113" t="s">
        <v>288</v>
      </c>
      <c r="C102" s="114">
        <v>122</v>
      </c>
      <c r="D102" s="114">
        <v>2080555</v>
      </c>
      <c r="E102" s="114">
        <v>82091</v>
      </c>
      <c r="F102" s="115">
        <v>2503162</v>
      </c>
      <c r="G102" s="114">
        <v>1722767</v>
      </c>
      <c r="H102" s="114">
        <v>327</v>
      </c>
      <c r="I102" s="114">
        <v>122</v>
      </c>
      <c r="J102" s="115">
        <v>122</v>
      </c>
    </row>
    <row r="103" spans="2:10" ht="15.75" customHeight="1" x14ac:dyDescent="0.2">
      <c r="B103" s="113" t="s">
        <v>116</v>
      </c>
      <c r="C103" s="114">
        <f t="shared" ref="C103:J103" si="8">C101-C102</f>
        <v>-4</v>
      </c>
      <c r="D103" s="114">
        <f t="shared" si="8"/>
        <v>-93246</v>
      </c>
      <c r="E103" s="114">
        <f t="shared" si="8"/>
        <v>-19054</v>
      </c>
      <c r="F103" s="115">
        <f t="shared" si="8"/>
        <v>192218</v>
      </c>
      <c r="G103" s="114">
        <f t="shared" si="8"/>
        <v>98095</v>
      </c>
      <c r="H103" s="114">
        <f t="shared" si="8"/>
        <v>-11</v>
      </c>
      <c r="I103" s="114">
        <f t="shared" si="8"/>
        <v>-4</v>
      </c>
      <c r="J103" s="114">
        <f t="shared" si="8"/>
        <v>-4</v>
      </c>
    </row>
    <row r="109" spans="2:10" x14ac:dyDescent="0.2">
      <c r="B109" s="571"/>
    </row>
  </sheetData>
  <mergeCells count="19">
    <mergeCell ref="C2:I2"/>
    <mergeCell ref="C4:I4"/>
    <mergeCell ref="C6:I6"/>
    <mergeCell ref="B8:B10"/>
    <mergeCell ref="C8:C10"/>
    <mergeCell ref="D8:D10"/>
    <mergeCell ref="E8:E10"/>
    <mergeCell ref="F8:F10"/>
    <mergeCell ref="G8:G10"/>
    <mergeCell ref="H8:H10"/>
    <mergeCell ref="I8:J9"/>
    <mergeCell ref="G64:G66"/>
    <mergeCell ref="H64:H66"/>
    <mergeCell ref="I64:J65"/>
    <mergeCell ref="B64:B66"/>
    <mergeCell ref="C64:C66"/>
    <mergeCell ref="D64:D66"/>
    <mergeCell ref="E64:E66"/>
    <mergeCell ref="F64:F66"/>
  </mergeCells>
  <pageMargins left="0.75" right="0.75" top="1" bottom="1" header="0.5" footer="0.5"/>
  <pageSetup paperSize="9" scale="89" fitToHeight="0" orientation="portrait" r:id="rId1"/>
  <headerFooter alignWithMargins="0"/>
  <ignoredErrors>
    <ignoredError sqref="E92 E85 E10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08"/>
  <sheetViews>
    <sheetView zoomScale="106" zoomScaleNormal="106" workbookViewId="0">
      <selection activeCell="D118" sqref="D118"/>
    </sheetView>
  </sheetViews>
  <sheetFormatPr defaultColWidth="9.140625" defaultRowHeight="12.75" x14ac:dyDescent="0.2"/>
  <cols>
    <col min="1" max="1" width="5" style="72" customWidth="1"/>
    <col min="2" max="2" width="13.5703125" style="72" customWidth="1"/>
    <col min="3" max="6" width="9.140625" style="72"/>
    <col min="7" max="7" width="10.7109375" style="72" customWidth="1"/>
    <col min="8" max="8" width="11.42578125" style="72" customWidth="1"/>
    <col min="9" max="16384" width="9.140625" style="72"/>
  </cols>
  <sheetData>
    <row r="2" spans="1:10" ht="18" x14ac:dyDescent="0.25">
      <c r="C2" s="939" t="s">
        <v>121</v>
      </c>
      <c r="D2" s="939"/>
      <c r="E2" s="939"/>
      <c r="F2" s="939"/>
      <c r="G2" s="939"/>
      <c r="H2" s="939"/>
      <c r="I2" s="939"/>
    </row>
    <row r="4" spans="1:10" ht="15.75" customHeight="1" x14ac:dyDescent="0.2">
      <c r="C4" s="937" t="s">
        <v>65</v>
      </c>
      <c r="D4" s="937"/>
      <c r="E4" s="937"/>
      <c r="F4" s="937"/>
      <c r="G4" s="937"/>
      <c r="H4" s="937"/>
      <c r="I4" s="937"/>
    </row>
    <row r="6" spans="1:10" ht="15" x14ac:dyDescent="0.2">
      <c r="B6" s="569"/>
      <c r="C6" s="938" t="s">
        <v>283</v>
      </c>
      <c r="D6" s="938"/>
      <c r="E6" s="938"/>
      <c r="F6" s="938"/>
      <c r="G6" s="938"/>
      <c r="H6" s="938"/>
      <c r="I6" s="938"/>
    </row>
    <row r="9" spans="1:10" x14ac:dyDescent="0.2">
      <c r="B9" s="929" t="s">
        <v>84</v>
      </c>
      <c r="C9" s="929" t="s">
        <v>85</v>
      </c>
      <c r="D9" s="929" t="s">
        <v>67</v>
      </c>
      <c r="E9" s="929" t="s">
        <v>68</v>
      </c>
      <c r="F9" s="929" t="s">
        <v>69</v>
      </c>
      <c r="G9" s="929" t="s">
        <v>70</v>
      </c>
      <c r="H9" s="929" t="s">
        <v>222</v>
      </c>
      <c r="I9" s="932" t="s">
        <v>223</v>
      </c>
      <c r="J9" s="933"/>
    </row>
    <row r="10" spans="1:10" x14ac:dyDescent="0.2">
      <c r="B10" s="930"/>
      <c r="C10" s="930"/>
      <c r="D10" s="930"/>
      <c r="E10" s="930"/>
      <c r="F10" s="930"/>
      <c r="G10" s="930"/>
      <c r="H10" s="930"/>
      <c r="I10" s="934"/>
      <c r="J10" s="935"/>
    </row>
    <row r="11" spans="1:10" ht="30.75" customHeight="1" x14ac:dyDescent="0.2">
      <c r="B11" s="931"/>
      <c r="C11" s="931"/>
      <c r="D11" s="931"/>
      <c r="E11" s="931"/>
      <c r="F11" s="931"/>
      <c r="G11" s="931"/>
      <c r="H11" s="931"/>
      <c r="I11" s="88" t="s">
        <v>73</v>
      </c>
      <c r="J11" s="89" t="s">
        <v>86</v>
      </c>
    </row>
    <row r="12" spans="1:10" x14ac:dyDescent="0.2">
      <c r="A12" s="82"/>
      <c r="B12" s="90">
        <v>1</v>
      </c>
      <c r="C12" s="90">
        <v>2</v>
      </c>
      <c r="D12" s="90">
        <v>3</v>
      </c>
      <c r="E12" s="90">
        <v>4</v>
      </c>
      <c r="F12" s="90">
        <v>5</v>
      </c>
      <c r="G12" s="90">
        <v>6</v>
      </c>
      <c r="H12" s="90">
        <v>7</v>
      </c>
      <c r="I12" s="90">
        <v>8</v>
      </c>
      <c r="J12" s="106">
        <v>9</v>
      </c>
    </row>
    <row r="13" spans="1:10" x14ac:dyDescent="0.2">
      <c r="A13" s="82"/>
      <c r="B13" s="128" t="s">
        <v>87</v>
      </c>
      <c r="J13" s="87"/>
    </row>
    <row r="14" spans="1:10" x14ac:dyDescent="0.2">
      <c r="A14" s="82"/>
      <c r="B14" s="107" t="s">
        <v>88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81">
        <v>0</v>
      </c>
    </row>
    <row r="15" spans="1:10" x14ac:dyDescent="0.2">
      <c r="A15" s="82"/>
      <c r="B15" s="104" t="s">
        <v>179</v>
      </c>
      <c r="C15" s="93">
        <v>31</v>
      </c>
      <c r="D15" s="93">
        <v>181842</v>
      </c>
      <c r="E15" s="93">
        <v>3296</v>
      </c>
      <c r="F15" s="93">
        <v>89781</v>
      </c>
      <c r="G15" s="93">
        <v>58304</v>
      </c>
      <c r="H15" s="93">
        <v>33</v>
      </c>
      <c r="I15" s="93">
        <v>31</v>
      </c>
      <c r="J15" s="81">
        <v>31</v>
      </c>
    </row>
    <row r="16" spans="1:10" x14ac:dyDescent="0.2">
      <c r="A16" s="82"/>
      <c r="B16" s="104" t="s">
        <v>89</v>
      </c>
      <c r="C16" s="93">
        <v>2</v>
      </c>
      <c r="D16" s="93">
        <v>23707</v>
      </c>
      <c r="E16" s="93">
        <v>710</v>
      </c>
      <c r="F16" s="93">
        <v>27134</v>
      </c>
      <c r="G16" s="93">
        <v>24674</v>
      </c>
      <c r="H16" s="93">
        <v>4</v>
      </c>
      <c r="I16" s="93">
        <v>2</v>
      </c>
      <c r="J16" s="81">
        <v>2</v>
      </c>
    </row>
    <row r="17" spans="1:11" x14ac:dyDescent="0.2">
      <c r="A17" s="82"/>
      <c r="B17" s="104" t="s">
        <v>180</v>
      </c>
      <c r="C17" s="93">
        <v>20</v>
      </c>
      <c r="D17" s="93">
        <v>91132</v>
      </c>
      <c r="E17" s="93">
        <v>2975</v>
      </c>
      <c r="F17" s="93">
        <v>49863</v>
      </c>
      <c r="G17" s="93">
        <v>61890</v>
      </c>
      <c r="H17" s="93">
        <v>18</v>
      </c>
      <c r="I17" s="93">
        <v>20</v>
      </c>
      <c r="J17" s="81">
        <v>20</v>
      </c>
    </row>
    <row r="18" spans="1:11" x14ac:dyDescent="0.2">
      <c r="A18" s="82"/>
      <c r="B18" s="104" t="s">
        <v>181</v>
      </c>
      <c r="C18" s="98">
        <v>19</v>
      </c>
      <c r="D18" s="98">
        <v>78682</v>
      </c>
      <c r="E18" s="98">
        <v>2172</v>
      </c>
      <c r="F18" s="98">
        <v>51329</v>
      </c>
      <c r="G18" s="98">
        <v>34793</v>
      </c>
      <c r="H18" s="98">
        <v>19</v>
      </c>
      <c r="I18" s="98">
        <v>19</v>
      </c>
      <c r="J18" s="81">
        <v>19</v>
      </c>
    </row>
    <row r="19" spans="1:11" x14ac:dyDescent="0.2">
      <c r="A19" s="82"/>
      <c r="B19" s="99" t="s">
        <v>22</v>
      </c>
      <c r="C19" s="100">
        <f>SUM(C14:C18)</f>
        <v>72</v>
      </c>
      <c r="D19" s="100">
        <f t="shared" ref="D19:J19" si="0">SUM(D14:D18)</f>
        <v>375363</v>
      </c>
      <c r="E19" s="100">
        <f t="shared" si="0"/>
        <v>9153</v>
      </c>
      <c r="F19" s="100">
        <f t="shared" si="0"/>
        <v>218107</v>
      </c>
      <c r="G19" s="100">
        <f t="shared" si="0"/>
        <v>179661</v>
      </c>
      <c r="H19" s="100">
        <f t="shared" si="0"/>
        <v>74</v>
      </c>
      <c r="I19" s="100">
        <f t="shared" si="0"/>
        <v>72</v>
      </c>
      <c r="J19" s="101">
        <f t="shared" si="0"/>
        <v>72</v>
      </c>
      <c r="K19" s="82"/>
    </row>
    <row r="20" spans="1:11" x14ac:dyDescent="0.2">
      <c r="A20" s="82"/>
      <c r="B20" s="105" t="s">
        <v>90</v>
      </c>
      <c r="J20" s="87"/>
    </row>
    <row r="21" spans="1:11" x14ac:dyDescent="0.2">
      <c r="A21" s="82"/>
      <c r="B21" s="104" t="s">
        <v>91</v>
      </c>
      <c r="C21" s="97">
        <v>2</v>
      </c>
      <c r="D21" s="97">
        <v>7402</v>
      </c>
      <c r="E21" s="97">
        <v>266</v>
      </c>
      <c r="F21" s="97">
        <v>4550</v>
      </c>
      <c r="G21" s="97">
        <v>2320</v>
      </c>
      <c r="H21" s="97">
        <v>2</v>
      </c>
      <c r="I21" s="97">
        <v>2</v>
      </c>
      <c r="J21" s="81">
        <v>2</v>
      </c>
    </row>
    <row r="22" spans="1:11" x14ac:dyDescent="0.2">
      <c r="A22" s="82"/>
      <c r="B22" s="104" t="s">
        <v>182</v>
      </c>
      <c r="C22" s="97">
        <v>15</v>
      </c>
      <c r="D22" s="97">
        <v>92266</v>
      </c>
      <c r="E22" s="97">
        <v>3810</v>
      </c>
      <c r="F22" s="97">
        <v>104578</v>
      </c>
      <c r="G22" s="97">
        <v>54850</v>
      </c>
      <c r="H22" s="97">
        <v>17</v>
      </c>
      <c r="I22" s="97">
        <v>15</v>
      </c>
      <c r="J22" s="81">
        <v>15</v>
      </c>
    </row>
    <row r="23" spans="1:11" x14ac:dyDescent="0.2">
      <c r="A23" s="82"/>
      <c r="B23" s="104" t="s">
        <v>183</v>
      </c>
      <c r="C23" s="97">
        <v>22</v>
      </c>
      <c r="D23" s="97">
        <v>93852</v>
      </c>
      <c r="E23" s="97">
        <v>2891</v>
      </c>
      <c r="F23" s="97">
        <v>45985</v>
      </c>
      <c r="G23" s="97">
        <v>45459</v>
      </c>
      <c r="H23" s="97">
        <v>20</v>
      </c>
      <c r="I23" s="97">
        <v>22</v>
      </c>
      <c r="J23" s="81">
        <v>22</v>
      </c>
    </row>
    <row r="24" spans="1:11" x14ac:dyDescent="0.2">
      <c r="A24" s="82"/>
      <c r="B24" s="104" t="s">
        <v>92</v>
      </c>
      <c r="C24" s="97">
        <v>0</v>
      </c>
      <c r="D24" s="97">
        <v>0</v>
      </c>
      <c r="E24" s="97">
        <v>0</v>
      </c>
      <c r="F24" s="97">
        <v>0</v>
      </c>
      <c r="G24" s="97">
        <v>0</v>
      </c>
      <c r="H24" s="97">
        <v>0</v>
      </c>
      <c r="I24" s="97">
        <v>0</v>
      </c>
      <c r="J24" s="81">
        <v>0</v>
      </c>
    </row>
    <row r="25" spans="1:11" x14ac:dyDescent="0.2">
      <c r="A25" s="82"/>
      <c r="B25" s="104" t="s">
        <v>184</v>
      </c>
      <c r="C25" s="97">
        <v>26</v>
      </c>
      <c r="D25" s="97">
        <v>163508</v>
      </c>
      <c r="E25" s="97">
        <v>8739</v>
      </c>
      <c r="F25" s="97">
        <v>164610</v>
      </c>
      <c r="G25" s="97">
        <v>126117</v>
      </c>
      <c r="H25" s="97">
        <v>30</v>
      </c>
      <c r="I25" s="97">
        <v>26</v>
      </c>
      <c r="J25" s="81">
        <v>26</v>
      </c>
    </row>
    <row r="26" spans="1:11" x14ac:dyDescent="0.2">
      <c r="A26" s="82"/>
      <c r="B26" s="104" t="s">
        <v>185</v>
      </c>
      <c r="C26" s="97">
        <v>37</v>
      </c>
      <c r="D26" s="97">
        <v>206697</v>
      </c>
      <c r="E26" s="97">
        <v>7051</v>
      </c>
      <c r="F26" s="97">
        <v>189071</v>
      </c>
      <c r="G26" s="97">
        <v>111961</v>
      </c>
      <c r="H26" s="97">
        <v>37</v>
      </c>
      <c r="I26" s="97">
        <v>37</v>
      </c>
      <c r="J26" s="81">
        <v>37</v>
      </c>
    </row>
    <row r="27" spans="1:11" x14ac:dyDescent="0.2">
      <c r="A27" s="82"/>
      <c r="B27" s="104" t="s">
        <v>186</v>
      </c>
      <c r="C27" s="97">
        <v>17</v>
      </c>
      <c r="D27" s="97">
        <v>96289</v>
      </c>
      <c r="E27" s="97">
        <v>3298</v>
      </c>
      <c r="F27" s="97">
        <v>64865</v>
      </c>
      <c r="G27" s="97">
        <v>34014</v>
      </c>
      <c r="H27" s="97">
        <v>19</v>
      </c>
      <c r="I27" s="97">
        <v>17</v>
      </c>
      <c r="J27" s="81">
        <v>17</v>
      </c>
    </row>
    <row r="28" spans="1:11" x14ac:dyDescent="0.2">
      <c r="A28" s="82"/>
      <c r="B28" s="104" t="s">
        <v>187</v>
      </c>
      <c r="C28" s="98">
        <v>22</v>
      </c>
      <c r="D28" s="98">
        <v>100181</v>
      </c>
      <c r="E28" s="98">
        <v>3244</v>
      </c>
      <c r="F28" s="98">
        <v>79347</v>
      </c>
      <c r="G28" s="98">
        <v>57031</v>
      </c>
      <c r="H28" s="98">
        <v>22</v>
      </c>
      <c r="I28" s="98">
        <v>22</v>
      </c>
      <c r="J28" s="81">
        <v>22</v>
      </c>
    </row>
    <row r="29" spans="1:11" x14ac:dyDescent="0.2">
      <c r="B29" s="99" t="s">
        <v>22</v>
      </c>
      <c r="C29" s="100">
        <f t="shared" ref="C29:J29" si="1">SUM(C21:C28)</f>
        <v>141</v>
      </c>
      <c r="D29" s="100">
        <f>SUM(D21:D28)</f>
        <v>760195</v>
      </c>
      <c r="E29" s="100">
        <f t="shared" si="1"/>
        <v>29299</v>
      </c>
      <c r="F29" s="100">
        <f t="shared" si="1"/>
        <v>653006</v>
      </c>
      <c r="G29" s="100">
        <f t="shared" si="1"/>
        <v>431752</v>
      </c>
      <c r="H29" s="100">
        <f t="shared" si="1"/>
        <v>147</v>
      </c>
      <c r="I29" s="100">
        <f t="shared" si="1"/>
        <v>141</v>
      </c>
      <c r="J29" s="101">
        <f t="shared" si="1"/>
        <v>141</v>
      </c>
    </row>
    <row r="30" spans="1:11" x14ac:dyDescent="0.2">
      <c r="B30" s="105" t="s">
        <v>93</v>
      </c>
      <c r="C30" s="130"/>
      <c r="D30" s="130"/>
      <c r="E30" s="130"/>
      <c r="F30" s="130"/>
      <c r="G30" s="130"/>
      <c r="H30" s="130"/>
      <c r="I30" s="130"/>
      <c r="J30" s="138"/>
    </row>
    <row r="31" spans="1:11" x14ac:dyDescent="0.2">
      <c r="B31" s="104" t="s">
        <v>94</v>
      </c>
      <c r="C31" s="93">
        <v>0</v>
      </c>
      <c r="D31" s="93">
        <v>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81">
        <v>0</v>
      </c>
    </row>
    <row r="32" spans="1:11" x14ac:dyDescent="0.2">
      <c r="B32" s="104" t="s">
        <v>188</v>
      </c>
      <c r="C32" s="93">
        <v>22</v>
      </c>
      <c r="D32" s="93">
        <v>152538</v>
      </c>
      <c r="E32" s="93">
        <v>6857</v>
      </c>
      <c r="F32" s="93">
        <v>163993</v>
      </c>
      <c r="G32" s="93">
        <v>116649</v>
      </c>
      <c r="H32" s="93">
        <v>24</v>
      </c>
      <c r="I32" s="93">
        <v>22</v>
      </c>
      <c r="J32" s="81">
        <v>22</v>
      </c>
    </row>
    <row r="33" spans="2:10" x14ac:dyDescent="0.2">
      <c r="B33" s="104" t="s">
        <v>189</v>
      </c>
      <c r="C33" s="93">
        <v>18</v>
      </c>
      <c r="D33" s="93">
        <v>130234</v>
      </c>
      <c r="E33" s="93">
        <v>1770</v>
      </c>
      <c r="F33" s="93">
        <v>78244</v>
      </c>
      <c r="G33" s="93">
        <v>59089</v>
      </c>
      <c r="H33" s="93">
        <v>20</v>
      </c>
      <c r="I33" s="93">
        <v>18</v>
      </c>
      <c r="J33" s="81">
        <v>18</v>
      </c>
    </row>
    <row r="34" spans="2:10" x14ac:dyDescent="0.2">
      <c r="B34" s="104" t="s">
        <v>95</v>
      </c>
      <c r="C34" s="93">
        <v>0</v>
      </c>
      <c r="D34" s="93">
        <v>0</v>
      </c>
      <c r="E34" s="93">
        <v>0</v>
      </c>
      <c r="F34" s="93">
        <v>0</v>
      </c>
      <c r="G34" s="93">
        <v>0</v>
      </c>
      <c r="H34" s="93">
        <v>0</v>
      </c>
      <c r="I34" s="93">
        <v>0</v>
      </c>
      <c r="J34" s="81">
        <v>0</v>
      </c>
    </row>
    <row r="35" spans="2:10" x14ac:dyDescent="0.2">
      <c r="B35" s="104" t="s">
        <v>96</v>
      </c>
      <c r="C35" s="93">
        <v>0</v>
      </c>
      <c r="D35" s="93">
        <v>0</v>
      </c>
      <c r="E35" s="93">
        <v>0</v>
      </c>
      <c r="F35" s="93">
        <v>0</v>
      </c>
      <c r="G35" s="93">
        <v>0</v>
      </c>
      <c r="H35" s="93">
        <v>0</v>
      </c>
      <c r="I35" s="93">
        <v>0</v>
      </c>
      <c r="J35" s="81">
        <v>0</v>
      </c>
    </row>
    <row r="36" spans="2:10" x14ac:dyDescent="0.2">
      <c r="B36" s="104" t="s">
        <v>190</v>
      </c>
      <c r="C36" s="93">
        <v>13</v>
      </c>
      <c r="D36" s="93">
        <v>91715</v>
      </c>
      <c r="E36" s="93">
        <v>1241</v>
      </c>
      <c r="F36" s="93">
        <v>68665</v>
      </c>
      <c r="G36" s="93">
        <v>30475</v>
      </c>
      <c r="H36" s="93">
        <v>15</v>
      </c>
      <c r="I36" s="93">
        <v>13</v>
      </c>
      <c r="J36" s="81">
        <v>13</v>
      </c>
    </row>
    <row r="37" spans="2:10" x14ac:dyDescent="0.2">
      <c r="B37" s="104" t="s">
        <v>191</v>
      </c>
      <c r="C37" s="98">
        <v>21</v>
      </c>
      <c r="D37" s="98">
        <v>175122</v>
      </c>
      <c r="E37" s="98">
        <v>4260</v>
      </c>
      <c r="F37" s="98">
        <v>114260</v>
      </c>
      <c r="G37" s="98">
        <v>101670</v>
      </c>
      <c r="H37" s="98">
        <v>31</v>
      </c>
      <c r="I37" s="98">
        <v>21</v>
      </c>
      <c r="J37" s="81">
        <v>21</v>
      </c>
    </row>
    <row r="38" spans="2:10" x14ac:dyDescent="0.2">
      <c r="B38" s="99" t="s">
        <v>22</v>
      </c>
      <c r="C38" s="101">
        <f t="shared" ref="C38:J38" si="2">SUM(C31:C37)</f>
        <v>74</v>
      </c>
      <c r="D38" s="100">
        <f t="shared" si="2"/>
        <v>549609</v>
      </c>
      <c r="E38" s="100">
        <f t="shared" si="2"/>
        <v>14128</v>
      </c>
      <c r="F38" s="100">
        <f t="shared" si="2"/>
        <v>425162</v>
      </c>
      <c r="G38" s="100">
        <f t="shared" si="2"/>
        <v>307883</v>
      </c>
      <c r="H38" s="100">
        <f t="shared" si="2"/>
        <v>90</v>
      </c>
      <c r="I38" s="100">
        <f t="shared" si="2"/>
        <v>74</v>
      </c>
      <c r="J38" s="101">
        <f t="shared" si="2"/>
        <v>74</v>
      </c>
    </row>
    <row r="39" spans="2:10" x14ac:dyDescent="0.2">
      <c r="B39" s="105" t="s">
        <v>97</v>
      </c>
      <c r="C39" s="82"/>
      <c r="D39" s="82"/>
      <c r="E39" s="82"/>
      <c r="J39" s="87"/>
    </row>
    <row r="40" spans="2:10" x14ac:dyDescent="0.2">
      <c r="B40" s="104" t="s">
        <v>98</v>
      </c>
      <c r="C40" s="97">
        <v>10</v>
      </c>
      <c r="D40" s="97">
        <v>54401</v>
      </c>
      <c r="E40" s="600">
        <v>1837</v>
      </c>
      <c r="F40" s="600">
        <v>52079</v>
      </c>
      <c r="G40" s="600">
        <v>33199</v>
      </c>
      <c r="H40" s="97">
        <v>10</v>
      </c>
      <c r="I40" s="97">
        <v>10</v>
      </c>
      <c r="J40" s="81">
        <v>10</v>
      </c>
    </row>
    <row r="41" spans="2:10" x14ac:dyDescent="0.2">
      <c r="B41" s="104" t="s">
        <v>99</v>
      </c>
      <c r="C41" s="97">
        <v>10</v>
      </c>
      <c r="D41" s="97">
        <v>52877</v>
      </c>
      <c r="E41" s="601">
        <v>1696</v>
      </c>
      <c r="F41" s="601">
        <v>29826</v>
      </c>
      <c r="G41" s="601">
        <v>20272</v>
      </c>
      <c r="H41" s="97">
        <v>10</v>
      </c>
      <c r="I41" s="97">
        <v>10</v>
      </c>
      <c r="J41" s="81">
        <v>10</v>
      </c>
    </row>
    <row r="42" spans="2:10" x14ac:dyDescent="0.2">
      <c r="B42" s="104" t="s">
        <v>100</v>
      </c>
      <c r="C42" s="97">
        <v>21</v>
      </c>
      <c r="D42" s="97">
        <v>103882</v>
      </c>
      <c r="E42" s="97">
        <v>4152</v>
      </c>
      <c r="F42" s="97">
        <v>106472</v>
      </c>
      <c r="G42" s="97">
        <v>61193</v>
      </c>
      <c r="H42" s="97">
        <v>22</v>
      </c>
      <c r="I42" s="97">
        <v>21</v>
      </c>
      <c r="J42" s="81">
        <v>21</v>
      </c>
    </row>
    <row r="43" spans="2:10" x14ac:dyDescent="0.2">
      <c r="B43" s="104" t="s">
        <v>192</v>
      </c>
      <c r="C43" s="97">
        <v>15</v>
      </c>
      <c r="D43" s="97">
        <v>89930</v>
      </c>
      <c r="E43" s="601">
        <v>1611</v>
      </c>
      <c r="F43" s="601">
        <v>28710</v>
      </c>
      <c r="G43" s="601">
        <v>27481</v>
      </c>
      <c r="H43" s="97">
        <v>15</v>
      </c>
      <c r="I43" s="97">
        <v>15</v>
      </c>
      <c r="J43" s="81">
        <v>15</v>
      </c>
    </row>
    <row r="44" spans="2:10" x14ac:dyDescent="0.2">
      <c r="B44" s="104" t="s">
        <v>193</v>
      </c>
      <c r="C44" s="98">
        <v>23</v>
      </c>
      <c r="D44" s="98">
        <v>145683</v>
      </c>
      <c r="E44" s="98">
        <v>3789</v>
      </c>
      <c r="F44" s="601">
        <v>66831</v>
      </c>
      <c r="G44" s="601">
        <v>56172</v>
      </c>
      <c r="H44" s="98">
        <v>23</v>
      </c>
      <c r="I44" s="98">
        <v>23</v>
      </c>
      <c r="J44" s="81">
        <v>23</v>
      </c>
    </row>
    <row r="45" spans="2:10" x14ac:dyDescent="0.2">
      <c r="B45" s="99" t="s">
        <v>22</v>
      </c>
      <c r="C45" s="101">
        <f t="shared" ref="C45:J45" si="3">SUM(C40:C44)</f>
        <v>79</v>
      </c>
      <c r="D45" s="101">
        <f t="shared" si="3"/>
        <v>446773</v>
      </c>
      <c r="E45" s="101">
        <f t="shared" si="3"/>
        <v>13085</v>
      </c>
      <c r="F45" s="101">
        <f t="shared" si="3"/>
        <v>283918</v>
      </c>
      <c r="G45" s="101">
        <f t="shared" si="3"/>
        <v>198317</v>
      </c>
      <c r="H45" s="101">
        <f t="shared" si="3"/>
        <v>80</v>
      </c>
      <c r="I45" s="101">
        <f t="shared" si="3"/>
        <v>79</v>
      </c>
      <c r="J45" s="101">
        <f t="shared" si="3"/>
        <v>79</v>
      </c>
    </row>
    <row r="46" spans="2:10" x14ac:dyDescent="0.2">
      <c r="B46" s="105" t="s">
        <v>101</v>
      </c>
      <c r="J46" s="81"/>
    </row>
    <row r="47" spans="2:10" x14ac:dyDescent="0.2">
      <c r="B47" s="104" t="s">
        <v>194</v>
      </c>
      <c r="C47" s="97">
        <v>19</v>
      </c>
      <c r="D47" s="97">
        <v>94691</v>
      </c>
      <c r="E47" s="601">
        <v>1675</v>
      </c>
      <c r="F47" s="601">
        <v>35517</v>
      </c>
      <c r="G47" s="601">
        <v>25940</v>
      </c>
      <c r="H47" s="97">
        <v>14</v>
      </c>
      <c r="I47" s="97">
        <v>19</v>
      </c>
      <c r="J47" s="81">
        <v>19</v>
      </c>
    </row>
    <row r="48" spans="2:10" x14ac:dyDescent="0.2">
      <c r="B48" s="104" t="s">
        <v>195</v>
      </c>
      <c r="C48" s="97">
        <v>15</v>
      </c>
      <c r="D48" s="97">
        <v>120789</v>
      </c>
      <c r="E48" s="97">
        <v>2188</v>
      </c>
      <c r="F48" s="97">
        <v>59383</v>
      </c>
      <c r="G48" s="97">
        <v>32814</v>
      </c>
      <c r="H48" s="97">
        <v>15</v>
      </c>
      <c r="I48" s="97">
        <v>15</v>
      </c>
      <c r="J48" s="81">
        <v>15</v>
      </c>
    </row>
    <row r="49" spans="2:10" x14ac:dyDescent="0.2">
      <c r="B49" s="104" t="s">
        <v>102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81">
        <v>0</v>
      </c>
    </row>
    <row r="50" spans="2:10" x14ac:dyDescent="0.2">
      <c r="B50" s="104" t="s">
        <v>196</v>
      </c>
      <c r="C50" s="97">
        <v>34</v>
      </c>
      <c r="D50" s="97">
        <v>158678</v>
      </c>
      <c r="E50" s="601">
        <v>3466</v>
      </c>
      <c r="F50" s="601">
        <v>209696</v>
      </c>
      <c r="G50" s="601">
        <v>71221</v>
      </c>
      <c r="H50" s="97">
        <v>34</v>
      </c>
      <c r="I50" s="97">
        <v>34</v>
      </c>
      <c r="J50" s="81">
        <v>34</v>
      </c>
    </row>
    <row r="51" spans="2:10" x14ac:dyDescent="0.2">
      <c r="B51" s="104" t="s">
        <v>197</v>
      </c>
      <c r="C51" s="97">
        <v>31</v>
      </c>
      <c r="D51" s="97">
        <v>144183</v>
      </c>
      <c r="E51" s="601" t="s">
        <v>281</v>
      </c>
      <c r="F51" s="601">
        <v>104582</v>
      </c>
      <c r="G51" s="601">
        <v>115285</v>
      </c>
      <c r="H51" s="97">
        <v>27</v>
      </c>
      <c r="I51" s="97">
        <v>31</v>
      </c>
      <c r="J51" s="81">
        <v>31</v>
      </c>
    </row>
    <row r="52" spans="2:10" x14ac:dyDescent="0.2">
      <c r="B52" s="104" t="s">
        <v>198</v>
      </c>
      <c r="C52" s="98">
        <v>34</v>
      </c>
      <c r="D52" s="98">
        <v>181687</v>
      </c>
      <c r="E52" s="98">
        <v>6096</v>
      </c>
      <c r="F52" s="98">
        <v>299506</v>
      </c>
      <c r="G52" s="98">
        <v>114972</v>
      </c>
      <c r="H52" s="98">
        <v>34</v>
      </c>
      <c r="I52" s="98">
        <v>34</v>
      </c>
      <c r="J52" s="81">
        <v>34</v>
      </c>
    </row>
    <row r="53" spans="2:10" x14ac:dyDescent="0.2">
      <c r="B53" s="99" t="s">
        <v>22</v>
      </c>
      <c r="C53" s="100">
        <f t="shared" ref="C53:J53" si="4">SUM(C47:C52)</f>
        <v>133</v>
      </c>
      <c r="D53" s="100">
        <f t="shared" si="4"/>
        <v>700028</v>
      </c>
      <c r="E53" s="100">
        <f t="shared" si="4"/>
        <v>13425</v>
      </c>
      <c r="F53" s="100">
        <f t="shared" si="4"/>
        <v>708684</v>
      </c>
      <c r="G53" s="100">
        <f t="shared" si="4"/>
        <v>360232</v>
      </c>
      <c r="H53" s="100">
        <f t="shared" si="4"/>
        <v>124</v>
      </c>
      <c r="I53" s="100">
        <f t="shared" si="4"/>
        <v>133</v>
      </c>
      <c r="J53" s="101">
        <f t="shared" si="4"/>
        <v>133</v>
      </c>
    </row>
    <row r="62" spans="2:10" x14ac:dyDescent="0.2">
      <c r="B62" s="86"/>
      <c r="C62" s="86"/>
      <c r="D62" s="86"/>
      <c r="E62" s="86"/>
      <c r="F62" s="86"/>
      <c r="G62" s="86"/>
      <c r="H62" s="86"/>
      <c r="I62" s="86"/>
      <c r="J62" s="86"/>
    </row>
    <row r="63" spans="2:10" x14ac:dyDescent="0.2">
      <c r="B63" s="929" t="s">
        <v>84</v>
      </c>
      <c r="C63" s="929" t="s">
        <v>85</v>
      </c>
      <c r="D63" s="929" t="s">
        <v>67</v>
      </c>
      <c r="E63" s="929" t="s">
        <v>68</v>
      </c>
      <c r="F63" s="929" t="s">
        <v>69</v>
      </c>
      <c r="G63" s="929" t="s">
        <v>70</v>
      </c>
      <c r="H63" s="929" t="s">
        <v>222</v>
      </c>
      <c r="I63" s="932" t="s">
        <v>223</v>
      </c>
      <c r="J63" s="933"/>
    </row>
    <row r="64" spans="2:10" x14ac:dyDescent="0.2">
      <c r="B64" s="930"/>
      <c r="C64" s="930"/>
      <c r="D64" s="930"/>
      <c r="E64" s="930"/>
      <c r="F64" s="930"/>
      <c r="G64" s="930"/>
      <c r="H64" s="930"/>
      <c r="I64" s="934"/>
      <c r="J64" s="935"/>
    </row>
    <row r="65" spans="1:10" ht="25.5" customHeight="1" x14ac:dyDescent="0.2">
      <c r="B65" s="931"/>
      <c r="C65" s="931"/>
      <c r="D65" s="931"/>
      <c r="E65" s="931"/>
      <c r="F65" s="931"/>
      <c r="G65" s="931"/>
      <c r="H65" s="931"/>
      <c r="I65" s="88" t="s">
        <v>73</v>
      </c>
      <c r="J65" s="89" t="s">
        <v>86</v>
      </c>
    </row>
    <row r="66" spans="1:10" x14ac:dyDescent="0.2">
      <c r="A66" s="82"/>
      <c r="B66" s="90">
        <v>1</v>
      </c>
      <c r="C66" s="90">
        <v>2</v>
      </c>
      <c r="D66" s="90">
        <v>3</v>
      </c>
      <c r="E66" s="90">
        <v>4</v>
      </c>
      <c r="F66" s="90">
        <v>5</v>
      </c>
      <c r="G66" s="90">
        <v>6</v>
      </c>
      <c r="H66" s="90">
        <v>7</v>
      </c>
      <c r="I66" s="90">
        <v>8</v>
      </c>
      <c r="J66" s="106">
        <v>9</v>
      </c>
    </row>
    <row r="67" spans="1:10" x14ac:dyDescent="0.2">
      <c r="A67" s="82"/>
      <c r="B67" s="570" t="s">
        <v>103</v>
      </c>
      <c r="J67" s="87"/>
    </row>
    <row r="68" spans="1:10" x14ac:dyDescent="0.2">
      <c r="A68" s="82"/>
      <c r="B68" s="107" t="s">
        <v>199</v>
      </c>
      <c r="C68" s="93">
        <v>11</v>
      </c>
      <c r="D68" s="93">
        <v>72709</v>
      </c>
      <c r="E68" s="601">
        <v>1678</v>
      </c>
      <c r="F68" s="601">
        <v>26473</v>
      </c>
      <c r="G68" s="601">
        <v>14746</v>
      </c>
      <c r="H68" s="93">
        <v>12</v>
      </c>
      <c r="I68" s="93">
        <v>11</v>
      </c>
      <c r="J68" s="81">
        <v>11</v>
      </c>
    </row>
    <row r="69" spans="1:10" x14ac:dyDescent="0.2">
      <c r="B69" s="107" t="s">
        <v>200</v>
      </c>
      <c r="C69" s="93">
        <v>16</v>
      </c>
      <c r="D69" s="93">
        <v>88699</v>
      </c>
      <c r="E69" s="601">
        <v>2298</v>
      </c>
      <c r="F69" s="601">
        <v>74338</v>
      </c>
      <c r="G69" s="601">
        <v>39895</v>
      </c>
      <c r="H69" s="93">
        <v>17</v>
      </c>
      <c r="I69" s="93">
        <v>16</v>
      </c>
      <c r="J69" s="81">
        <v>16</v>
      </c>
    </row>
    <row r="70" spans="1:10" x14ac:dyDescent="0.2">
      <c r="B70" s="107" t="s">
        <v>201</v>
      </c>
      <c r="C70" s="93">
        <v>15</v>
      </c>
      <c r="D70" s="93">
        <v>63302</v>
      </c>
      <c r="E70" s="93">
        <v>2047</v>
      </c>
      <c r="F70" s="93">
        <v>41203</v>
      </c>
      <c r="G70" s="93">
        <v>56353</v>
      </c>
      <c r="H70" s="93">
        <v>15</v>
      </c>
      <c r="I70" s="93">
        <v>15</v>
      </c>
      <c r="J70" s="81">
        <v>15</v>
      </c>
    </row>
    <row r="71" spans="1:10" x14ac:dyDescent="0.2">
      <c r="B71" s="107" t="s">
        <v>202</v>
      </c>
      <c r="C71" s="93">
        <v>22</v>
      </c>
      <c r="D71" s="93">
        <v>103545</v>
      </c>
      <c r="E71" s="601">
        <v>2409</v>
      </c>
      <c r="F71" s="601">
        <v>86609</v>
      </c>
      <c r="G71" s="601">
        <v>67021</v>
      </c>
      <c r="H71" s="93">
        <v>21</v>
      </c>
      <c r="I71" s="93">
        <v>22</v>
      </c>
      <c r="J71" s="81">
        <v>22</v>
      </c>
    </row>
    <row r="72" spans="1:10" x14ac:dyDescent="0.2">
      <c r="B72" s="107" t="s">
        <v>203</v>
      </c>
      <c r="C72" s="93">
        <v>24</v>
      </c>
      <c r="D72" s="93">
        <v>147549</v>
      </c>
      <c r="E72" s="601">
        <v>5232</v>
      </c>
      <c r="F72" s="601">
        <v>103013</v>
      </c>
      <c r="G72" s="601">
        <v>244708</v>
      </c>
      <c r="H72" s="93">
        <v>25</v>
      </c>
      <c r="I72" s="93">
        <v>24</v>
      </c>
      <c r="J72" s="81">
        <v>24</v>
      </c>
    </row>
    <row r="73" spans="1:10" x14ac:dyDescent="0.2">
      <c r="B73" s="107" t="s">
        <v>104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0</v>
      </c>
      <c r="I73" s="93">
        <v>0</v>
      </c>
      <c r="J73" s="81">
        <v>0</v>
      </c>
    </row>
    <row r="74" spans="1:10" x14ac:dyDescent="0.2">
      <c r="B74" s="107" t="s">
        <v>204</v>
      </c>
      <c r="C74" s="93">
        <v>24</v>
      </c>
      <c r="D74" s="98">
        <v>158519</v>
      </c>
      <c r="E74" s="601">
        <v>4913</v>
      </c>
      <c r="F74" s="601">
        <v>111039</v>
      </c>
      <c r="G74" s="601">
        <v>56992</v>
      </c>
      <c r="H74" s="98">
        <v>24</v>
      </c>
      <c r="I74" s="98">
        <v>24</v>
      </c>
      <c r="J74" s="81">
        <v>24</v>
      </c>
    </row>
    <row r="75" spans="1:10" x14ac:dyDescent="0.2">
      <c r="B75" s="108" t="s">
        <v>22</v>
      </c>
      <c r="C75" s="100">
        <f t="shared" ref="C75:J75" si="5">SUM(C68:C74)</f>
        <v>112</v>
      </c>
      <c r="D75" s="100">
        <f>SUM(D68:D74)</f>
        <v>634323</v>
      </c>
      <c r="E75" s="100">
        <f t="shared" si="5"/>
        <v>18577</v>
      </c>
      <c r="F75" s="100">
        <f t="shared" si="5"/>
        <v>442675</v>
      </c>
      <c r="G75" s="100">
        <f t="shared" si="5"/>
        <v>479715</v>
      </c>
      <c r="H75" s="100">
        <f t="shared" si="5"/>
        <v>114</v>
      </c>
      <c r="I75" s="100">
        <f t="shared" si="5"/>
        <v>112</v>
      </c>
      <c r="J75" s="101">
        <f t="shared" si="5"/>
        <v>112</v>
      </c>
    </row>
    <row r="76" spans="1:10" x14ac:dyDescent="0.2">
      <c r="B76" s="109" t="s">
        <v>105</v>
      </c>
      <c r="C76" s="93"/>
      <c r="D76" s="93"/>
      <c r="E76" s="93"/>
      <c r="F76" s="93"/>
      <c r="G76" s="93"/>
      <c r="H76" s="93"/>
      <c r="I76" s="93"/>
      <c r="J76" s="81"/>
    </row>
    <row r="77" spans="1:10" x14ac:dyDescent="0.2">
      <c r="B77" s="107" t="s">
        <v>205</v>
      </c>
      <c r="C77" s="93">
        <v>23</v>
      </c>
      <c r="D77" s="93">
        <v>137575</v>
      </c>
      <c r="E77" s="93">
        <v>2151</v>
      </c>
      <c r="F77" s="93">
        <v>80692</v>
      </c>
      <c r="G77" s="93">
        <v>57508</v>
      </c>
      <c r="H77" s="93">
        <v>24</v>
      </c>
      <c r="I77" s="93">
        <v>23</v>
      </c>
      <c r="J77" s="81">
        <v>23</v>
      </c>
    </row>
    <row r="78" spans="1:10" x14ac:dyDescent="0.2">
      <c r="B78" s="107" t="s">
        <v>106</v>
      </c>
      <c r="C78" s="93">
        <v>8</v>
      </c>
      <c r="D78" s="93">
        <v>63530</v>
      </c>
      <c r="E78" s="93">
        <v>1061</v>
      </c>
      <c r="F78" s="93">
        <v>25780</v>
      </c>
      <c r="G78" s="93">
        <v>11414</v>
      </c>
      <c r="H78" s="93">
        <v>8</v>
      </c>
      <c r="I78" s="93">
        <v>8</v>
      </c>
      <c r="J78" s="81">
        <v>8</v>
      </c>
    </row>
    <row r="79" spans="1:10" x14ac:dyDescent="0.2">
      <c r="B79" s="107" t="s">
        <v>206</v>
      </c>
      <c r="C79" s="93">
        <v>23</v>
      </c>
      <c r="D79" s="93">
        <v>142555</v>
      </c>
      <c r="E79" s="601">
        <v>2883</v>
      </c>
      <c r="F79" s="601">
        <v>64893</v>
      </c>
      <c r="G79" s="601">
        <v>37233</v>
      </c>
      <c r="H79" s="93">
        <v>23</v>
      </c>
      <c r="I79" s="93">
        <v>23</v>
      </c>
      <c r="J79" s="81">
        <v>23</v>
      </c>
    </row>
    <row r="80" spans="1:10" x14ac:dyDescent="0.2">
      <c r="B80" s="107" t="s">
        <v>207</v>
      </c>
      <c r="C80" s="98">
        <v>24</v>
      </c>
      <c r="D80" s="98">
        <v>135351</v>
      </c>
      <c r="E80" s="601" t="s">
        <v>281</v>
      </c>
      <c r="F80" s="601">
        <v>70974</v>
      </c>
      <c r="G80" s="601">
        <v>72055</v>
      </c>
      <c r="H80" s="98">
        <v>23</v>
      </c>
      <c r="I80" s="98">
        <v>24</v>
      </c>
      <c r="J80" s="81">
        <v>24</v>
      </c>
    </row>
    <row r="81" spans="2:11" x14ac:dyDescent="0.2">
      <c r="B81" s="108" t="s">
        <v>22</v>
      </c>
      <c r="C81" s="100">
        <f t="shared" ref="C81:J81" si="6">SUM(C77:C80)</f>
        <v>78</v>
      </c>
      <c r="D81" s="100">
        <f t="shared" si="6"/>
        <v>479011</v>
      </c>
      <c r="E81" s="100">
        <f t="shared" si="6"/>
        <v>6095</v>
      </c>
      <c r="F81" s="100">
        <f t="shared" si="6"/>
        <v>242339</v>
      </c>
      <c r="G81" s="100">
        <f t="shared" si="6"/>
        <v>178210</v>
      </c>
      <c r="H81" s="100">
        <f t="shared" si="6"/>
        <v>78</v>
      </c>
      <c r="I81" s="100">
        <f t="shared" si="6"/>
        <v>78</v>
      </c>
      <c r="J81" s="101">
        <f t="shared" si="6"/>
        <v>78</v>
      </c>
    </row>
    <row r="82" spans="2:11" s="130" customFormat="1" x14ac:dyDescent="0.2">
      <c r="B82" s="109" t="s">
        <v>107</v>
      </c>
      <c r="C82" s="95"/>
      <c r="D82" s="95"/>
      <c r="E82" s="95"/>
      <c r="F82" s="95"/>
      <c r="G82" s="95"/>
      <c r="H82" s="95"/>
      <c r="I82" s="95"/>
      <c r="J82" s="129"/>
    </row>
    <row r="83" spans="2:11" x14ac:dyDescent="0.2">
      <c r="B83" s="107" t="s">
        <v>208</v>
      </c>
      <c r="C83" s="93">
        <v>20</v>
      </c>
      <c r="D83" s="93">
        <v>101415</v>
      </c>
      <c r="E83" s="601">
        <v>2309</v>
      </c>
      <c r="F83" s="601">
        <v>53907</v>
      </c>
      <c r="G83" s="601">
        <v>56661</v>
      </c>
      <c r="H83" s="93">
        <v>20</v>
      </c>
      <c r="I83" s="93">
        <v>20</v>
      </c>
      <c r="J83" s="81">
        <v>20</v>
      </c>
    </row>
    <row r="84" spans="2:11" x14ac:dyDescent="0.2">
      <c r="B84" s="107" t="s">
        <v>209</v>
      </c>
      <c r="C84" s="93">
        <v>15</v>
      </c>
      <c r="D84" s="93">
        <v>85015</v>
      </c>
      <c r="E84" s="93">
        <v>2394</v>
      </c>
      <c r="F84" s="93">
        <v>53102</v>
      </c>
      <c r="G84" s="93">
        <v>51232</v>
      </c>
      <c r="H84" s="93">
        <v>15</v>
      </c>
      <c r="I84" s="93">
        <v>15</v>
      </c>
      <c r="J84" s="81">
        <v>15</v>
      </c>
    </row>
    <row r="85" spans="2:11" x14ac:dyDescent="0.2">
      <c r="B85" s="107" t="s">
        <v>108</v>
      </c>
      <c r="C85" s="93">
        <v>6</v>
      </c>
      <c r="D85" s="93">
        <v>33063</v>
      </c>
      <c r="E85" s="601">
        <v>543</v>
      </c>
      <c r="F85" s="601">
        <v>13572</v>
      </c>
      <c r="G85" s="601">
        <v>7239</v>
      </c>
      <c r="H85" s="93">
        <v>6</v>
      </c>
      <c r="I85" s="93">
        <v>6</v>
      </c>
      <c r="J85" s="81">
        <v>6</v>
      </c>
    </row>
    <row r="86" spans="2:11" x14ac:dyDescent="0.2">
      <c r="B86" s="107" t="s">
        <v>210</v>
      </c>
      <c r="C86" s="93">
        <v>26</v>
      </c>
      <c r="D86" s="93">
        <v>148449</v>
      </c>
      <c r="E86" s="601">
        <v>3149</v>
      </c>
      <c r="F86" s="601">
        <v>73798</v>
      </c>
      <c r="G86" s="601">
        <v>58941</v>
      </c>
      <c r="H86" s="93">
        <v>25</v>
      </c>
      <c r="I86" s="93">
        <v>26</v>
      </c>
      <c r="J86" s="81">
        <v>26</v>
      </c>
    </row>
    <row r="87" spans="2:11" x14ac:dyDescent="0.2">
      <c r="B87" s="108" t="s">
        <v>22</v>
      </c>
      <c r="C87" s="101">
        <f t="shared" ref="C87:J87" si="7">SUM(C83:C86)</f>
        <v>67</v>
      </c>
      <c r="D87" s="101">
        <f t="shared" si="7"/>
        <v>367942</v>
      </c>
      <c r="E87" s="101">
        <f t="shared" si="7"/>
        <v>8395</v>
      </c>
      <c r="F87" s="101">
        <f t="shared" si="7"/>
        <v>194379</v>
      </c>
      <c r="G87" s="101">
        <f t="shared" si="7"/>
        <v>174073</v>
      </c>
      <c r="H87" s="101">
        <f t="shared" si="7"/>
        <v>66</v>
      </c>
      <c r="I87" s="101">
        <f t="shared" si="7"/>
        <v>67</v>
      </c>
      <c r="J87" s="101">
        <f t="shared" si="7"/>
        <v>67</v>
      </c>
    </row>
    <row r="88" spans="2:11" x14ac:dyDescent="0.2">
      <c r="B88" s="109" t="s">
        <v>109</v>
      </c>
      <c r="C88" s="93"/>
      <c r="D88" s="93"/>
      <c r="E88" s="93"/>
      <c r="F88" s="93"/>
      <c r="G88" s="93"/>
      <c r="H88" s="93"/>
      <c r="I88" s="93"/>
      <c r="J88" s="81"/>
    </row>
    <row r="89" spans="2:11" x14ac:dyDescent="0.2">
      <c r="B89" s="107" t="s">
        <v>211</v>
      </c>
      <c r="C89" s="93">
        <v>21</v>
      </c>
      <c r="D89" s="93">
        <v>94336</v>
      </c>
      <c r="E89" s="601">
        <v>3452</v>
      </c>
      <c r="F89" s="601">
        <v>95358</v>
      </c>
      <c r="G89" s="601">
        <v>56338</v>
      </c>
      <c r="H89" s="93">
        <v>19</v>
      </c>
      <c r="I89" s="93">
        <v>21</v>
      </c>
      <c r="J89" s="81">
        <v>21</v>
      </c>
    </row>
    <row r="90" spans="2:11" x14ac:dyDescent="0.2">
      <c r="B90" s="107" t="s">
        <v>212</v>
      </c>
      <c r="C90" s="93">
        <v>19</v>
      </c>
      <c r="D90" s="93">
        <v>92903</v>
      </c>
      <c r="E90" s="601">
        <v>1738</v>
      </c>
      <c r="F90" s="601">
        <v>54897</v>
      </c>
      <c r="G90" s="601">
        <v>40170</v>
      </c>
      <c r="H90" s="93">
        <v>21</v>
      </c>
      <c r="I90" s="93">
        <v>19</v>
      </c>
      <c r="J90" s="81">
        <v>19</v>
      </c>
      <c r="K90" s="97"/>
    </row>
    <row r="91" spans="2:11" x14ac:dyDescent="0.2">
      <c r="B91" s="107" t="s">
        <v>213</v>
      </c>
      <c r="C91" s="93">
        <v>24</v>
      </c>
      <c r="D91" s="93">
        <v>101334</v>
      </c>
      <c r="E91" s="93">
        <v>3157</v>
      </c>
      <c r="F91" s="93">
        <v>91919</v>
      </c>
      <c r="G91" s="93">
        <v>84826</v>
      </c>
      <c r="H91" s="93">
        <v>24</v>
      </c>
      <c r="I91" s="93">
        <v>24</v>
      </c>
      <c r="J91" s="81">
        <v>24</v>
      </c>
    </row>
    <row r="92" spans="2:11" x14ac:dyDescent="0.2">
      <c r="B92" s="107" t="s">
        <v>214</v>
      </c>
      <c r="C92" s="93">
        <v>20</v>
      </c>
      <c r="D92" s="93">
        <v>87585</v>
      </c>
      <c r="E92" s="93">
        <v>1626</v>
      </c>
      <c r="F92" s="93">
        <v>47051</v>
      </c>
      <c r="G92" s="93">
        <v>34758</v>
      </c>
      <c r="H92" s="93">
        <v>21</v>
      </c>
      <c r="I92" s="93">
        <v>20</v>
      </c>
      <c r="J92" s="81">
        <v>20</v>
      </c>
    </row>
    <row r="93" spans="2:11" x14ac:dyDescent="0.2">
      <c r="B93" s="107" t="s">
        <v>110</v>
      </c>
      <c r="C93" s="93">
        <v>0</v>
      </c>
      <c r="D93" s="93">
        <v>0</v>
      </c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81">
        <v>0</v>
      </c>
    </row>
    <row r="94" spans="2:11" x14ac:dyDescent="0.2">
      <c r="B94" s="107" t="s">
        <v>215</v>
      </c>
      <c r="C94" s="93">
        <v>13</v>
      </c>
      <c r="D94" s="98">
        <v>69361</v>
      </c>
      <c r="E94" s="601">
        <v>1980</v>
      </c>
      <c r="F94" s="601">
        <v>79677</v>
      </c>
      <c r="G94" s="601">
        <v>32185</v>
      </c>
      <c r="H94" s="98">
        <v>13</v>
      </c>
      <c r="I94" s="98">
        <v>13</v>
      </c>
      <c r="J94" s="81">
        <v>13</v>
      </c>
    </row>
    <row r="95" spans="2:11" x14ac:dyDescent="0.2">
      <c r="B95" s="108" t="s">
        <v>22</v>
      </c>
      <c r="C95" s="100">
        <f t="shared" ref="C95:J95" si="8">SUM(C89:C94)</f>
        <v>97</v>
      </c>
      <c r="D95" s="100">
        <f>SUM(D89:D94)</f>
        <v>445519</v>
      </c>
      <c r="E95" s="100">
        <f t="shared" si="8"/>
        <v>11953</v>
      </c>
      <c r="F95" s="100">
        <f t="shared" si="8"/>
        <v>368902</v>
      </c>
      <c r="G95" s="100">
        <f t="shared" si="8"/>
        <v>248277</v>
      </c>
      <c r="H95" s="100">
        <f t="shared" si="8"/>
        <v>98</v>
      </c>
      <c r="I95" s="100">
        <f t="shared" si="8"/>
        <v>97</v>
      </c>
      <c r="J95" s="101">
        <f t="shared" si="8"/>
        <v>97</v>
      </c>
    </row>
    <row r="96" spans="2:11" x14ac:dyDescent="0.2">
      <c r="B96" s="109" t="s">
        <v>111</v>
      </c>
      <c r="C96" s="93"/>
      <c r="D96" s="93"/>
      <c r="E96" s="93"/>
      <c r="F96" s="93"/>
      <c r="G96" s="93"/>
      <c r="H96" s="93"/>
      <c r="I96" s="93"/>
      <c r="J96" s="81"/>
    </row>
    <row r="97" spans="2:10" x14ac:dyDescent="0.2">
      <c r="B97" s="107" t="s">
        <v>112</v>
      </c>
      <c r="C97" s="93">
        <v>10</v>
      </c>
      <c r="D97" s="93">
        <v>87447</v>
      </c>
      <c r="E97" s="601" t="s">
        <v>281</v>
      </c>
      <c r="F97" s="601">
        <v>44206</v>
      </c>
      <c r="G97" s="601">
        <v>30796</v>
      </c>
      <c r="H97" s="93">
        <v>10</v>
      </c>
      <c r="I97" s="93">
        <v>10</v>
      </c>
      <c r="J97" s="81">
        <v>10</v>
      </c>
    </row>
    <row r="98" spans="2:10" x14ac:dyDescent="0.2">
      <c r="B98" s="107" t="s">
        <v>216</v>
      </c>
      <c r="C98" s="93">
        <v>22</v>
      </c>
      <c r="D98" s="93">
        <v>149965</v>
      </c>
      <c r="E98" s="601">
        <v>4195</v>
      </c>
      <c r="F98" s="601">
        <v>61519</v>
      </c>
      <c r="G98" s="601">
        <v>41900</v>
      </c>
      <c r="H98" s="93">
        <v>23</v>
      </c>
      <c r="I98" s="93">
        <v>22</v>
      </c>
      <c r="J98" s="81">
        <v>22</v>
      </c>
    </row>
    <row r="99" spans="2:10" x14ac:dyDescent="0.2">
      <c r="B99" s="107" t="s">
        <v>217</v>
      </c>
      <c r="C99" s="93">
        <v>18</v>
      </c>
      <c r="D99" s="93">
        <v>51843</v>
      </c>
      <c r="E99" s="601">
        <v>1275</v>
      </c>
      <c r="F99" s="601">
        <v>33502</v>
      </c>
      <c r="G99" s="601">
        <v>17958</v>
      </c>
      <c r="H99" s="93">
        <v>15</v>
      </c>
      <c r="I99" s="93">
        <v>18</v>
      </c>
      <c r="J99" s="81">
        <v>18</v>
      </c>
    </row>
    <row r="100" spans="2:10" x14ac:dyDescent="0.2">
      <c r="B100" s="107" t="s">
        <v>218</v>
      </c>
      <c r="C100" s="93">
        <v>13</v>
      </c>
      <c r="D100" s="93">
        <v>60796</v>
      </c>
      <c r="E100" s="601">
        <v>1898</v>
      </c>
      <c r="F100" s="601">
        <v>34732</v>
      </c>
      <c r="G100" s="601">
        <v>23533</v>
      </c>
      <c r="H100" s="93">
        <v>10</v>
      </c>
      <c r="I100" s="93">
        <v>13</v>
      </c>
      <c r="J100" s="81">
        <v>13</v>
      </c>
    </row>
    <row r="101" spans="2:10" x14ac:dyDescent="0.2">
      <c r="B101" s="107" t="s">
        <v>219</v>
      </c>
      <c r="C101" s="93">
        <v>13</v>
      </c>
      <c r="D101" s="93">
        <v>91925</v>
      </c>
      <c r="E101" s="601" t="s">
        <v>281</v>
      </c>
      <c r="F101" s="93">
        <v>77668</v>
      </c>
      <c r="G101" s="93">
        <v>47289</v>
      </c>
      <c r="H101" s="93">
        <v>13</v>
      </c>
      <c r="I101" s="93">
        <v>13</v>
      </c>
      <c r="J101" s="81">
        <v>13</v>
      </c>
    </row>
    <row r="102" spans="2:10" x14ac:dyDescent="0.2">
      <c r="B102" s="107" t="s">
        <v>220</v>
      </c>
      <c r="C102" s="93">
        <v>27</v>
      </c>
      <c r="D102" s="93">
        <v>110466</v>
      </c>
      <c r="E102" s="93">
        <v>3181</v>
      </c>
      <c r="F102" s="93">
        <v>70582</v>
      </c>
      <c r="G102" s="93">
        <v>98453</v>
      </c>
      <c r="H102" s="93">
        <v>28</v>
      </c>
      <c r="I102" s="93">
        <v>27</v>
      </c>
      <c r="J102" s="81">
        <v>27</v>
      </c>
    </row>
    <row r="103" spans="2:10" x14ac:dyDescent="0.2">
      <c r="B103" s="107" t="s">
        <v>113</v>
      </c>
      <c r="C103" s="93">
        <v>0</v>
      </c>
      <c r="D103" s="93">
        <v>0</v>
      </c>
      <c r="E103" s="93">
        <v>0</v>
      </c>
      <c r="F103" s="93">
        <v>0</v>
      </c>
      <c r="G103" s="93">
        <v>0</v>
      </c>
      <c r="H103" s="93">
        <v>0</v>
      </c>
      <c r="I103" s="93">
        <v>0</v>
      </c>
      <c r="J103" s="81">
        <v>0</v>
      </c>
    </row>
    <row r="104" spans="2:10" x14ac:dyDescent="0.2">
      <c r="B104" s="107" t="s">
        <v>221</v>
      </c>
      <c r="C104" s="98">
        <v>40</v>
      </c>
      <c r="D104" s="98">
        <v>316039</v>
      </c>
      <c r="E104" s="601">
        <v>6359</v>
      </c>
      <c r="F104" s="601">
        <v>74680</v>
      </c>
      <c r="G104" s="601">
        <v>40972</v>
      </c>
      <c r="H104" s="98">
        <v>39</v>
      </c>
      <c r="I104" s="98">
        <v>40</v>
      </c>
      <c r="J104" s="81">
        <v>40</v>
      </c>
    </row>
    <row r="105" spans="2:10" x14ac:dyDescent="0.2">
      <c r="B105" s="108" t="s">
        <v>22</v>
      </c>
      <c r="C105" s="100">
        <f t="shared" ref="C105:H105" si="9">SUM(C97:C104)</f>
        <v>143</v>
      </c>
      <c r="D105" s="100">
        <f>SUM(D97:D104)</f>
        <v>868481</v>
      </c>
      <c r="E105" s="100">
        <f t="shared" si="9"/>
        <v>16908</v>
      </c>
      <c r="F105" s="100">
        <f t="shared" si="9"/>
        <v>396889</v>
      </c>
      <c r="G105" s="100">
        <f t="shared" si="9"/>
        <v>300901</v>
      </c>
      <c r="H105" s="100">
        <f t="shared" si="9"/>
        <v>138</v>
      </c>
      <c r="I105" s="100">
        <f>SUM(I97:I104)</f>
        <v>143</v>
      </c>
      <c r="J105" s="101">
        <f>SUM(J97:J104)</f>
        <v>143</v>
      </c>
    </row>
    <row r="106" spans="2:10" x14ac:dyDescent="0.2">
      <c r="B106" s="139" t="s">
        <v>115</v>
      </c>
      <c r="C106" s="140">
        <f t="shared" ref="C106:J106" si="10">SUM(C105,C95,C87,C81,C75,C53,C45,C38,C29,C19)</f>
        <v>996</v>
      </c>
      <c r="D106" s="140">
        <f>SUM(D105,D95,D87,D81,D75,D53,D45,D38,D29,D19)</f>
        <v>5627244</v>
      </c>
      <c r="E106" s="140">
        <f t="shared" si="10"/>
        <v>141018</v>
      </c>
      <c r="F106" s="144">
        <f t="shared" si="10"/>
        <v>3934061</v>
      </c>
      <c r="G106" s="140">
        <f t="shared" si="10"/>
        <v>2859021</v>
      </c>
      <c r="H106" s="140">
        <f t="shared" si="10"/>
        <v>1009</v>
      </c>
      <c r="I106" s="144">
        <f t="shared" si="10"/>
        <v>996</v>
      </c>
      <c r="J106" s="144">
        <f t="shared" si="10"/>
        <v>996</v>
      </c>
    </row>
    <row r="107" spans="2:10" x14ac:dyDescent="0.2">
      <c r="B107" s="113" t="s">
        <v>288</v>
      </c>
      <c r="C107" s="114">
        <v>1009</v>
      </c>
      <c r="D107" s="599">
        <v>5755225</v>
      </c>
      <c r="E107" s="599">
        <v>138845</v>
      </c>
      <c r="F107" s="599">
        <v>3794189</v>
      </c>
      <c r="G107" s="599">
        <v>2489806</v>
      </c>
      <c r="H107" s="599">
        <v>1022</v>
      </c>
      <c r="I107" s="114">
        <v>1009</v>
      </c>
      <c r="J107" s="115">
        <v>1009</v>
      </c>
    </row>
    <row r="108" spans="2:10" x14ac:dyDescent="0.2">
      <c r="B108" s="113" t="s">
        <v>116</v>
      </c>
      <c r="C108" s="114">
        <f t="shared" ref="C108:I108" si="11">C106-C107</f>
        <v>-13</v>
      </c>
      <c r="D108" s="114">
        <f t="shared" si="11"/>
        <v>-127981</v>
      </c>
      <c r="E108" s="114">
        <f t="shared" si="11"/>
        <v>2173</v>
      </c>
      <c r="F108" s="115">
        <f t="shared" si="11"/>
        <v>139872</v>
      </c>
      <c r="G108" s="114">
        <f t="shared" si="11"/>
        <v>369215</v>
      </c>
      <c r="H108" s="114">
        <f t="shared" si="11"/>
        <v>-13</v>
      </c>
      <c r="I108" s="114">
        <f t="shared" si="11"/>
        <v>-13</v>
      </c>
      <c r="J108" s="115">
        <f>J106-J107</f>
        <v>-13</v>
      </c>
    </row>
  </sheetData>
  <mergeCells count="19">
    <mergeCell ref="C2:I2"/>
    <mergeCell ref="C4:I4"/>
    <mergeCell ref="C6:I6"/>
    <mergeCell ref="B9:B11"/>
    <mergeCell ref="C9:C11"/>
    <mergeCell ref="D9:D11"/>
    <mergeCell ref="E9:E11"/>
    <mergeCell ref="F9:F11"/>
    <mergeCell ref="G9:G11"/>
    <mergeCell ref="H9:H11"/>
    <mergeCell ref="I9:J10"/>
    <mergeCell ref="G63:G65"/>
    <mergeCell ref="H63:H65"/>
    <mergeCell ref="I63:J64"/>
    <mergeCell ref="B63:B65"/>
    <mergeCell ref="C63:C65"/>
    <mergeCell ref="D63:D65"/>
    <mergeCell ref="E63:E65"/>
    <mergeCell ref="F63:F65"/>
  </mergeCells>
  <pageMargins left="0.75" right="0.75" top="1" bottom="1" header="0" footer="0"/>
  <pageSetup paperSize="9" scale="9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0"/>
  <sheetViews>
    <sheetView zoomScale="106" zoomScaleNormal="106" workbookViewId="0">
      <selection activeCell="E35" sqref="E35"/>
    </sheetView>
  </sheetViews>
  <sheetFormatPr defaultColWidth="9.140625" defaultRowHeight="12.75" x14ac:dyDescent="0.2"/>
  <cols>
    <col min="1" max="1" width="4.140625" style="72" customWidth="1"/>
    <col min="2" max="2" width="16.42578125" style="72" customWidth="1"/>
    <col min="3" max="6" width="9.140625" style="72"/>
    <col min="7" max="7" width="10.140625" style="72" customWidth="1"/>
    <col min="8" max="8" width="11.28515625" style="72" customWidth="1"/>
    <col min="9" max="16384" width="9.140625" style="72"/>
  </cols>
  <sheetData>
    <row r="2" spans="1:12" ht="18" x14ac:dyDescent="0.25">
      <c r="C2" s="939" t="s">
        <v>119</v>
      </c>
      <c r="D2" s="939"/>
      <c r="E2" s="939"/>
      <c r="F2" s="939"/>
      <c r="G2" s="939"/>
      <c r="H2" s="939"/>
      <c r="I2" s="939"/>
    </row>
    <row r="4" spans="1:12" ht="15.75" customHeight="1" x14ac:dyDescent="0.2">
      <c r="C4" s="937" t="s">
        <v>120</v>
      </c>
      <c r="D4" s="937"/>
      <c r="E4" s="937"/>
      <c r="F4" s="937"/>
      <c r="G4" s="937"/>
      <c r="H4" s="937"/>
      <c r="I4" s="937"/>
    </row>
    <row r="6" spans="1:12" ht="15" x14ac:dyDescent="0.2">
      <c r="C6" s="938" t="s">
        <v>283</v>
      </c>
      <c r="D6" s="938"/>
      <c r="E6" s="938"/>
      <c r="F6" s="938"/>
      <c r="G6" s="938"/>
      <c r="H6" s="938"/>
      <c r="I6" s="938"/>
    </row>
    <row r="8" spans="1:12" x14ac:dyDescent="0.2">
      <c r="B8" s="929" t="s">
        <v>84</v>
      </c>
      <c r="C8" s="929" t="s">
        <v>85</v>
      </c>
      <c r="D8" s="929" t="s">
        <v>67</v>
      </c>
      <c r="E8" s="929" t="s">
        <v>68</v>
      </c>
      <c r="F8" s="929" t="s">
        <v>69</v>
      </c>
      <c r="G8" s="929" t="s">
        <v>70</v>
      </c>
      <c r="H8" s="929" t="s">
        <v>222</v>
      </c>
      <c r="I8" s="932" t="s">
        <v>223</v>
      </c>
      <c r="J8" s="933"/>
    </row>
    <row r="9" spans="1:12" x14ac:dyDescent="0.2">
      <c r="B9" s="930"/>
      <c r="C9" s="930"/>
      <c r="D9" s="930"/>
      <c r="E9" s="930"/>
      <c r="F9" s="930"/>
      <c r="G9" s="930"/>
      <c r="H9" s="930"/>
      <c r="I9" s="934"/>
      <c r="J9" s="935"/>
    </row>
    <row r="10" spans="1:12" ht="24" customHeight="1" x14ac:dyDescent="0.2">
      <c r="B10" s="931"/>
      <c r="C10" s="931"/>
      <c r="D10" s="931"/>
      <c r="E10" s="931"/>
      <c r="F10" s="931"/>
      <c r="G10" s="931"/>
      <c r="H10" s="931"/>
      <c r="I10" s="88" t="s">
        <v>73</v>
      </c>
      <c r="J10" s="89" t="s">
        <v>86</v>
      </c>
      <c r="K10" s="552"/>
      <c r="L10" s="552"/>
    </row>
    <row r="11" spans="1:12" x14ac:dyDescent="0.2">
      <c r="B11" s="90">
        <v>1</v>
      </c>
      <c r="C11" s="90">
        <v>2</v>
      </c>
      <c r="D11" s="90">
        <v>3</v>
      </c>
      <c r="E11" s="90">
        <v>4</v>
      </c>
      <c r="F11" s="90">
        <v>5</v>
      </c>
      <c r="G11" s="90">
        <v>6</v>
      </c>
      <c r="H11" s="90">
        <v>7</v>
      </c>
      <c r="I11" s="90">
        <v>8</v>
      </c>
      <c r="J11" s="106">
        <v>9</v>
      </c>
    </row>
    <row r="12" spans="1:12" x14ac:dyDescent="0.2">
      <c r="A12" s="82"/>
      <c r="B12" s="558" t="s">
        <v>87</v>
      </c>
      <c r="C12" s="606">
        <v>0</v>
      </c>
      <c r="D12" s="607">
        <v>0</v>
      </c>
      <c r="E12" s="607">
        <v>0</v>
      </c>
      <c r="F12" s="607">
        <v>0</v>
      </c>
      <c r="G12" s="607">
        <v>0</v>
      </c>
      <c r="H12" s="607">
        <v>0</v>
      </c>
      <c r="I12" s="607">
        <v>0</v>
      </c>
      <c r="J12" s="608">
        <v>0</v>
      </c>
      <c r="K12" s="552"/>
      <c r="L12" s="552"/>
    </row>
    <row r="13" spans="1:12" x14ac:dyDescent="0.2">
      <c r="A13" s="82"/>
      <c r="B13" s="563" t="s">
        <v>90</v>
      </c>
      <c r="C13" s="609">
        <v>0</v>
      </c>
      <c r="D13" s="610">
        <v>0</v>
      </c>
      <c r="E13" s="610">
        <v>0</v>
      </c>
      <c r="F13" s="610">
        <v>0</v>
      </c>
      <c r="G13" s="610">
        <v>0</v>
      </c>
      <c r="H13" s="610">
        <v>0</v>
      </c>
      <c r="I13" s="610">
        <v>0</v>
      </c>
      <c r="J13" s="611">
        <v>0</v>
      </c>
      <c r="K13" s="552"/>
      <c r="L13" s="552"/>
    </row>
    <row r="14" spans="1:12" x14ac:dyDescent="0.2">
      <c r="B14" s="562" t="s">
        <v>93</v>
      </c>
      <c r="C14" s="941"/>
      <c r="D14" s="942"/>
      <c r="E14" s="942"/>
      <c r="F14" s="942"/>
      <c r="G14" s="942"/>
      <c r="H14" s="942"/>
      <c r="I14" s="942"/>
      <c r="J14" s="942"/>
      <c r="K14" s="552"/>
      <c r="L14" s="552"/>
    </row>
    <row r="15" spans="1:12" x14ac:dyDescent="0.2">
      <c r="B15" s="567" t="s">
        <v>94</v>
      </c>
      <c r="C15" s="610">
        <v>1</v>
      </c>
      <c r="D15" s="610">
        <v>12502</v>
      </c>
      <c r="E15" s="602">
        <v>1261</v>
      </c>
      <c r="F15" s="603">
        <v>21764</v>
      </c>
      <c r="G15" s="602">
        <v>11924</v>
      </c>
      <c r="H15" s="610">
        <v>2</v>
      </c>
      <c r="I15" s="610">
        <v>1</v>
      </c>
      <c r="J15" s="611">
        <v>1</v>
      </c>
      <c r="K15" s="552"/>
      <c r="L15" s="552"/>
    </row>
    <row r="16" spans="1:12" x14ac:dyDescent="0.2">
      <c r="B16" s="560" t="s">
        <v>97</v>
      </c>
      <c r="C16" s="612">
        <v>0</v>
      </c>
      <c r="D16" s="610">
        <v>0</v>
      </c>
      <c r="E16" s="610">
        <v>0</v>
      </c>
      <c r="F16" s="612">
        <v>0</v>
      </c>
      <c r="G16" s="610">
        <v>0</v>
      </c>
      <c r="H16" s="610">
        <v>0</v>
      </c>
      <c r="I16" s="610">
        <v>0</v>
      </c>
      <c r="J16" s="611">
        <v>0</v>
      </c>
      <c r="K16" s="552"/>
      <c r="L16" s="552"/>
    </row>
    <row r="17" spans="1:12" x14ac:dyDescent="0.2">
      <c r="B17" s="566" t="s">
        <v>101</v>
      </c>
      <c r="C17" s="943"/>
      <c r="D17" s="944"/>
      <c r="E17" s="944"/>
      <c r="F17" s="944"/>
      <c r="G17" s="944"/>
      <c r="H17" s="944"/>
      <c r="I17" s="944"/>
      <c r="J17" s="944"/>
      <c r="K17" s="552"/>
      <c r="L17" s="552"/>
    </row>
    <row r="18" spans="1:12" x14ac:dyDescent="0.2">
      <c r="B18" s="567" t="s">
        <v>102</v>
      </c>
      <c r="C18" s="610">
        <v>4</v>
      </c>
      <c r="D18" s="612">
        <v>54940</v>
      </c>
      <c r="E18" s="602">
        <v>4457</v>
      </c>
      <c r="F18" s="603">
        <v>100619</v>
      </c>
      <c r="G18" s="603">
        <v>62769</v>
      </c>
      <c r="H18" s="612">
        <v>13</v>
      </c>
      <c r="I18" s="612">
        <v>4</v>
      </c>
      <c r="J18" s="611">
        <v>4</v>
      </c>
      <c r="K18" s="552"/>
      <c r="L18" s="552"/>
    </row>
    <row r="19" spans="1:12" x14ac:dyDescent="0.2">
      <c r="A19" s="82"/>
      <c r="B19" s="566" t="s">
        <v>103</v>
      </c>
      <c r="C19" s="941"/>
      <c r="D19" s="942"/>
      <c r="E19" s="942"/>
      <c r="F19" s="942"/>
      <c r="G19" s="942"/>
      <c r="H19" s="942"/>
      <c r="I19" s="942"/>
      <c r="J19" s="942"/>
      <c r="K19" s="552"/>
      <c r="L19" s="552"/>
    </row>
    <row r="20" spans="1:12" x14ac:dyDescent="0.2">
      <c r="B20" s="568" t="s">
        <v>104</v>
      </c>
      <c r="C20" s="610">
        <v>2</v>
      </c>
      <c r="D20" s="612">
        <v>41174</v>
      </c>
      <c r="E20" s="602">
        <v>1473</v>
      </c>
      <c r="F20" s="602">
        <v>58061</v>
      </c>
      <c r="G20" s="602">
        <v>31542</v>
      </c>
      <c r="H20" s="610">
        <v>6</v>
      </c>
      <c r="I20" s="610">
        <v>2</v>
      </c>
      <c r="J20" s="613">
        <v>2</v>
      </c>
      <c r="K20" s="552"/>
      <c r="L20" s="552"/>
    </row>
    <row r="21" spans="1:12" x14ac:dyDescent="0.2">
      <c r="B21" s="563" t="s">
        <v>105</v>
      </c>
      <c r="C21" s="614">
        <v>0</v>
      </c>
      <c r="D21" s="614">
        <v>0</v>
      </c>
      <c r="E21" s="615">
        <v>0</v>
      </c>
      <c r="F21" s="615">
        <v>0</v>
      </c>
      <c r="G21" s="615">
        <v>0</v>
      </c>
      <c r="H21" s="615">
        <v>0</v>
      </c>
      <c r="I21" s="615">
        <v>0</v>
      </c>
      <c r="J21" s="613">
        <v>0</v>
      </c>
      <c r="K21" s="552"/>
      <c r="L21" s="552"/>
    </row>
    <row r="22" spans="1:12" x14ac:dyDescent="0.2">
      <c r="B22" s="559" t="s">
        <v>107</v>
      </c>
      <c r="C22" s="612">
        <v>0</v>
      </c>
      <c r="D22" s="612">
        <v>0</v>
      </c>
      <c r="E22" s="610">
        <v>0</v>
      </c>
      <c r="F22" s="610">
        <v>0</v>
      </c>
      <c r="G22" s="610">
        <v>0</v>
      </c>
      <c r="H22" s="610">
        <v>0</v>
      </c>
      <c r="I22" s="610">
        <v>0</v>
      </c>
      <c r="J22" s="611">
        <v>0</v>
      </c>
      <c r="K22" s="552"/>
      <c r="L22" s="552"/>
    </row>
    <row r="23" spans="1:12" x14ac:dyDescent="0.2">
      <c r="B23" s="563" t="s">
        <v>109</v>
      </c>
      <c r="C23" s="612">
        <v>0</v>
      </c>
      <c r="D23" s="612">
        <v>0</v>
      </c>
      <c r="E23" s="610">
        <v>0</v>
      </c>
      <c r="F23" s="610">
        <v>0</v>
      </c>
      <c r="G23" s="610">
        <v>0</v>
      </c>
      <c r="H23" s="610">
        <v>0</v>
      </c>
      <c r="I23" s="610">
        <v>0</v>
      </c>
      <c r="J23" s="611">
        <v>0</v>
      </c>
      <c r="K23" s="552"/>
      <c r="L23" s="552"/>
    </row>
    <row r="24" spans="1:12" x14ac:dyDescent="0.2">
      <c r="B24" s="565" t="s">
        <v>111</v>
      </c>
      <c r="C24" s="945"/>
      <c r="D24" s="942"/>
      <c r="E24" s="942"/>
      <c r="F24" s="942"/>
      <c r="G24" s="942"/>
      <c r="H24" s="942"/>
      <c r="I24" s="942"/>
      <c r="J24" s="942"/>
      <c r="K24" s="552"/>
      <c r="L24" s="552"/>
    </row>
    <row r="25" spans="1:12" x14ac:dyDescent="0.2">
      <c r="B25" s="564" t="s">
        <v>113</v>
      </c>
      <c r="C25" s="614">
        <v>1</v>
      </c>
      <c r="D25" s="614">
        <v>15863</v>
      </c>
      <c r="E25" s="604">
        <v>1399</v>
      </c>
      <c r="F25" s="604">
        <v>47574</v>
      </c>
      <c r="G25" s="604">
        <v>39691</v>
      </c>
      <c r="H25" s="614">
        <v>5</v>
      </c>
      <c r="I25" s="614">
        <v>1</v>
      </c>
      <c r="J25" s="613">
        <v>1</v>
      </c>
      <c r="K25" s="552"/>
      <c r="L25" s="552"/>
    </row>
    <row r="26" spans="1:12" x14ac:dyDescent="0.2">
      <c r="B26" s="561" t="s">
        <v>114</v>
      </c>
      <c r="C26" s="616">
        <v>1</v>
      </c>
      <c r="D26" s="616">
        <v>11518</v>
      </c>
      <c r="E26" s="605">
        <v>432</v>
      </c>
      <c r="F26" s="605">
        <v>5495</v>
      </c>
      <c r="G26" s="605">
        <v>2954</v>
      </c>
      <c r="H26" s="616">
        <v>2</v>
      </c>
      <c r="I26" s="616">
        <v>1</v>
      </c>
      <c r="J26" s="617">
        <v>1</v>
      </c>
      <c r="K26" s="552"/>
      <c r="L26" s="552"/>
    </row>
    <row r="27" spans="1:12" ht="13.5" thickBot="1" x14ac:dyDescent="0.25">
      <c r="B27" s="134" t="s">
        <v>22</v>
      </c>
      <c r="C27" s="135">
        <f>SUM(C25:C26)</f>
        <v>2</v>
      </c>
      <c r="D27" s="136">
        <f t="shared" ref="D27:J27" si="0">SUM(D24:D26)</f>
        <v>27381</v>
      </c>
      <c r="E27" s="136">
        <f t="shared" si="0"/>
        <v>1831</v>
      </c>
      <c r="F27" s="136">
        <f t="shared" si="0"/>
        <v>53069</v>
      </c>
      <c r="G27" s="136">
        <f t="shared" si="0"/>
        <v>42645</v>
      </c>
      <c r="H27" s="136">
        <f t="shared" si="0"/>
        <v>7</v>
      </c>
      <c r="I27" s="136">
        <f t="shared" si="0"/>
        <v>2</v>
      </c>
      <c r="J27" s="135">
        <f t="shared" si="0"/>
        <v>2</v>
      </c>
      <c r="K27" s="552"/>
      <c r="L27" s="552"/>
    </row>
    <row r="28" spans="1:12" x14ac:dyDescent="0.2">
      <c r="B28" s="145" t="s">
        <v>115</v>
      </c>
      <c r="C28" s="146">
        <f>SUM(C12,C13,C15,C16,C18,C20,C21,C22,C23,C27)</f>
        <v>9</v>
      </c>
      <c r="D28" s="146">
        <f t="shared" ref="D28:J28" si="1">SUM(D12,D13,D15,D16,D18,D20,D21,D22,D23,D27)</f>
        <v>135997</v>
      </c>
      <c r="E28" s="146">
        <f t="shared" si="1"/>
        <v>9022</v>
      </c>
      <c r="F28" s="146">
        <f t="shared" si="1"/>
        <v>233513</v>
      </c>
      <c r="G28" s="146">
        <f t="shared" si="1"/>
        <v>148880</v>
      </c>
      <c r="H28" s="146">
        <f t="shared" si="1"/>
        <v>28</v>
      </c>
      <c r="I28" s="146">
        <f t="shared" si="1"/>
        <v>9</v>
      </c>
      <c r="J28" s="146">
        <f t="shared" si="1"/>
        <v>9</v>
      </c>
      <c r="K28" s="552"/>
      <c r="L28" s="552"/>
    </row>
    <row r="29" spans="1:12" x14ac:dyDescent="0.2">
      <c r="B29" s="110" t="s">
        <v>280</v>
      </c>
      <c r="C29" s="132">
        <v>9</v>
      </c>
      <c r="D29" s="132">
        <v>137832</v>
      </c>
      <c r="E29" s="132">
        <v>8999</v>
      </c>
      <c r="F29" s="133">
        <v>204723</v>
      </c>
      <c r="G29" s="132">
        <v>121431</v>
      </c>
      <c r="H29" s="132">
        <v>30</v>
      </c>
      <c r="I29" s="132">
        <v>9</v>
      </c>
      <c r="J29" s="132">
        <v>9</v>
      </c>
    </row>
    <row r="30" spans="1:12" x14ac:dyDescent="0.2">
      <c r="B30" s="113" t="s">
        <v>116</v>
      </c>
      <c r="C30" s="114">
        <f t="shared" ref="C30:H30" si="2">C28-C29</f>
        <v>0</v>
      </c>
      <c r="D30" s="114">
        <f t="shared" si="2"/>
        <v>-1835</v>
      </c>
      <c r="E30" s="114">
        <f t="shared" si="2"/>
        <v>23</v>
      </c>
      <c r="F30" s="115">
        <f t="shared" si="2"/>
        <v>28790</v>
      </c>
      <c r="G30" s="114">
        <f t="shared" si="2"/>
        <v>27449</v>
      </c>
      <c r="H30" s="114">
        <f t="shared" si="2"/>
        <v>-2</v>
      </c>
      <c r="I30" s="114">
        <f>I28-I29</f>
        <v>0</v>
      </c>
      <c r="J30" s="115">
        <f>J28-J29</f>
        <v>0</v>
      </c>
    </row>
  </sheetData>
  <mergeCells count="15">
    <mergeCell ref="B8:B10"/>
    <mergeCell ref="C8:C10"/>
    <mergeCell ref="D8:D10"/>
    <mergeCell ref="E8:E10"/>
    <mergeCell ref="F8:F10"/>
    <mergeCell ref="C14:J14"/>
    <mergeCell ref="C17:J17"/>
    <mergeCell ref="C24:J24"/>
    <mergeCell ref="C19:J19"/>
    <mergeCell ref="C2:I2"/>
    <mergeCell ref="C4:I4"/>
    <mergeCell ref="C6:I6"/>
    <mergeCell ref="G8:G10"/>
    <mergeCell ref="H8:H10"/>
    <mergeCell ref="I8:J9"/>
  </mergeCells>
  <pageMargins left="0.75" right="0.75" top="1" bottom="1" header="0" footer="0"/>
  <pageSetup paperSize="9" scale="88" fitToHeight="0" orientation="portrait" r:id="rId1"/>
  <headerFooter alignWithMargins="0"/>
  <ignoredErrors>
    <ignoredError sqref="D27:J27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08"/>
  <sheetViews>
    <sheetView zoomScaleNormal="100" workbookViewId="0">
      <selection activeCell="C113" sqref="C113"/>
    </sheetView>
  </sheetViews>
  <sheetFormatPr defaultColWidth="9.140625" defaultRowHeight="12.75" x14ac:dyDescent="0.2"/>
  <cols>
    <col min="1" max="1" width="4.85546875" style="72" customWidth="1"/>
    <col min="2" max="2" width="15.42578125" style="72" customWidth="1"/>
    <col min="3" max="3" width="9.140625" style="72"/>
    <col min="4" max="4" width="8.42578125" style="72" customWidth="1"/>
    <col min="5" max="6" width="9.140625" style="72"/>
    <col min="7" max="7" width="10.28515625" style="72" customWidth="1"/>
    <col min="8" max="8" width="11.140625" style="72" customWidth="1"/>
    <col min="9" max="16384" width="9.140625" style="72"/>
  </cols>
  <sheetData>
    <row r="2" spans="2:10" ht="18.75" customHeight="1" x14ac:dyDescent="0.25">
      <c r="C2" s="939" t="s">
        <v>228</v>
      </c>
      <c r="D2" s="939"/>
      <c r="E2" s="939"/>
      <c r="F2" s="939"/>
      <c r="G2" s="939"/>
      <c r="H2" s="939"/>
      <c r="I2" s="939"/>
    </row>
    <row r="3" spans="2:10" ht="15.75" customHeight="1" x14ac:dyDescent="0.2">
      <c r="C3" s="937" t="s">
        <v>122</v>
      </c>
      <c r="D3" s="937"/>
      <c r="E3" s="937"/>
      <c r="F3" s="937"/>
      <c r="G3" s="937"/>
      <c r="H3" s="937"/>
      <c r="I3" s="937"/>
    </row>
    <row r="4" spans="2:10" ht="15.75" customHeight="1" x14ac:dyDescent="0.2">
      <c r="C4" s="937" t="s">
        <v>120</v>
      </c>
      <c r="D4" s="937"/>
      <c r="E4" s="937"/>
      <c r="F4" s="937"/>
      <c r="G4" s="937"/>
      <c r="H4" s="937"/>
      <c r="I4" s="937"/>
    </row>
    <row r="6" spans="2:10" ht="15" x14ac:dyDescent="0.2">
      <c r="C6" s="938" t="s">
        <v>283</v>
      </c>
      <c r="D6" s="938"/>
      <c r="E6" s="938"/>
      <c r="F6" s="938"/>
      <c r="G6" s="938"/>
      <c r="H6" s="938"/>
      <c r="I6" s="938"/>
    </row>
    <row r="8" spans="2:10" x14ac:dyDescent="0.2">
      <c r="B8" s="929" t="s">
        <v>84</v>
      </c>
      <c r="C8" s="929" t="s">
        <v>85</v>
      </c>
      <c r="D8" s="929" t="s">
        <v>67</v>
      </c>
      <c r="E8" s="929" t="s">
        <v>68</v>
      </c>
      <c r="F8" s="929" t="s">
        <v>69</v>
      </c>
      <c r="G8" s="929" t="s">
        <v>70</v>
      </c>
      <c r="H8" s="929" t="s">
        <v>222</v>
      </c>
      <c r="I8" s="932" t="s">
        <v>223</v>
      </c>
      <c r="J8" s="933"/>
    </row>
    <row r="9" spans="2:10" x14ac:dyDescent="0.2">
      <c r="B9" s="930"/>
      <c r="C9" s="930"/>
      <c r="D9" s="930"/>
      <c r="E9" s="930"/>
      <c r="F9" s="930"/>
      <c r="G9" s="930"/>
      <c r="H9" s="930"/>
      <c r="I9" s="934"/>
      <c r="J9" s="935"/>
    </row>
    <row r="10" spans="2:10" ht="26.25" customHeight="1" x14ac:dyDescent="0.2">
      <c r="B10" s="931"/>
      <c r="C10" s="931"/>
      <c r="D10" s="931"/>
      <c r="E10" s="931"/>
      <c r="F10" s="931"/>
      <c r="G10" s="931"/>
      <c r="H10" s="931"/>
      <c r="I10" s="88" t="s">
        <v>73</v>
      </c>
      <c r="J10" s="89" t="s">
        <v>86</v>
      </c>
    </row>
    <row r="11" spans="2:10" x14ac:dyDescent="0.2">
      <c r="B11" s="90">
        <v>1</v>
      </c>
      <c r="C11" s="90">
        <v>2</v>
      </c>
      <c r="D11" s="90">
        <v>3</v>
      </c>
      <c r="E11" s="90">
        <v>4</v>
      </c>
      <c r="F11" s="90">
        <v>5</v>
      </c>
      <c r="G11" s="90">
        <v>6</v>
      </c>
      <c r="H11" s="90">
        <v>7</v>
      </c>
      <c r="I11" s="90">
        <v>8</v>
      </c>
      <c r="J11" s="106">
        <v>9</v>
      </c>
    </row>
    <row r="12" spans="2:10" x14ac:dyDescent="0.2">
      <c r="B12" s="128" t="s">
        <v>87</v>
      </c>
      <c r="J12" s="87"/>
    </row>
    <row r="13" spans="2:10" x14ac:dyDescent="0.2">
      <c r="B13" s="107" t="s">
        <v>88</v>
      </c>
      <c r="C13" s="93">
        <v>0</v>
      </c>
      <c r="D13" s="93">
        <v>0</v>
      </c>
      <c r="E13" s="93">
        <v>0</v>
      </c>
      <c r="F13" s="93">
        <v>0</v>
      </c>
      <c r="G13" s="93">
        <v>0</v>
      </c>
      <c r="H13" s="93">
        <v>0</v>
      </c>
      <c r="I13" s="93">
        <v>0</v>
      </c>
      <c r="J13" s="81">
        <v>0</v>
      </c>
    </row>
    <row r="14" spans="2:10" x14ac:dyDescent="0.2">
      <c r="B14" s="104" t="s">
        <v>179</v>
      </c>
      <c r="C14" s="93">
        <v>7</v>
      </c>
      <c r="D14" s="93">
        <v>86938</v>
      </c>
      <c r="E14" s="93">
        <v>1302</v>
      </c>
      <c r="F14" s="93">
        <v>34318</v>
      </c>
      <c r="G14" s="93">
        <v>33229</v>
      </c>
      <c r="H14" s="93">
        <v>10</v>
      </c>
      <c r="I14" s="93">
        <v>7</v>
      </c>
      <c r="J14" s="81">
        <v>7</v>
      </c>
    </row>
    <row r="15" spans="2:10" x14ac:dyDescent="0.2">
      <c r="B15" s="96" t="s">
        <v>89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81">
        <v>0</v>
      </c>
    </row>
    <row r="16" spans="2:10" x14ac:dyDescent="0.2">
      <c r="B16" s="96" t="s">
        <v>180</v>
      </c>
      <c r="C16" s="93">
        <v>0</v>
      </c>
      <c r="D16" s="93">
        <v>0</v>
      </c>
      <c r="E16" s="93">
        <v>0</v>
      </c>
      <c r="F16" s="93">
        <v>0</v>
      </c>
      <c r="G16" s="93">
        <v>0</v>
      </c>
      <c r="H16" s="93">
        <v>0</v>
      </c>
      <c r="I16" s="93">
        <v>0</v>
      </c>
      <c r="J16" s="81">
        <v>0</v>
      </c>
    </row>
    <row r="17" spans="2:10" x14ac:dyDescent="0.2">
      <c r="B17" s="96" t="s">
        <v>181</v>
      </c>
      <c r="C17" s="93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81">
        <v>0</v>
      </c>
    </row>
    <row r="18" spans="2:10" x14ac:dyDescent="0.2">
      <c r="B18" s="99" t="s">
        <v>22</v>
      </c>
      <c r="C18" s="100">
        <f>SUM(C13:C17)</f>
        <v>7</v>
      </c>
      <c r="D18" s="100">
        <f t="shared" ref="D18:J18" si="0">SUM(D13:D17)</f>
        <v>86938</v>
      </c>
      <c r="E18" s="100">
        <f t="shared" si="0"/>
        <v>1302</v>
      </c>
      <c r="F18" s="100">
        <f t="shared" si="0"/>
        <v>34318</v>
      </c>
      <c r="G18" s="100">
        <f t="shared" si="0"/>
        <v>33229</v>
      </c>
      <c r="H18" s="100">
        <f t="shared" si="0"/>
        <v>10</v>
      </c>
      <c r="I18" s="100">
        <f t="shared" si="0"/>
        <v>7</v>
      </c>
      <c r="J18" s="101">
        <f t="shared" si="0"/>
        <v>7</v>
      </c>
    </row>
    <row r="19" spans="2:10" x14ac:dyDescent="0.2">
      <c r="B19" s="105" t="s">
        <v>90</v>
      </c>
      <c r="J19" s="87"/>
    </row>
    <row r="20" spans="2:10" x14ac:dyDescent="0.2">
      <c r="B20" s="104" t="s">
        <v>91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81">
        <v>0</v>
      </c>
    </row>
    <row r="21" spans="2:10" x14ac:dyDescent="0.2">
      <c r="B21" s="104" t="s">
        <v>182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81">
        <v>0</v>
      </c>
    </row>
    <row r="22" spans="2:10" x14ac:dyDescent="0.2">
      <c r="B22" s="104" t="s">
        <v>183</v>
      </c>
      <c r="C22" s="97">
        <v>0</v>
      </c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81">
        <v>0</v>
      </c>
    </row>
    <row r="23" spans="2:10" x14ac:dyDescent="0.2">
      <c r="B23" s="104" t="s">
        <v>92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81">
        <v>0</v>
      </c>
    </row>
    <row r="24" spans="2:10" x14ac:dyDescent="0.2">
      <c r="B24" s="104" t="s">
        <v>184</v>
      </c>
      <c r="C24" s="97">
        <v>0</v>
      </c>
      <c r="D24" s="97">
        <v>0</v>
      </c>
      <c r="E24" s="97">
        <v>0</v>
      </c>
      <c r="F24" s="97">
        <v>0</v>
      </c>
      <c r="G24" s="97">
        <v>0</v>
      </c>
      <c r="H24" s="97">
        <v>0</v>
      </c>
      <c r="I24" s="97">
        <v>0</v>
      </c>
      <c r="J24" s="81">
        <v>0</v>
      </c>
    </row>
    <row r="25" spans="2:10" x14ac:dyDescent="0.2">
      <c r="B25" s="104" t="s">
        <v>185</v>
      </c>
      <c r="C25" s="97">
        <v>0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81">
        <v>0</v>
      </c>
    </row>
    <row r="26" spans="2:10" x14ac:dyDescent="0.2">
      <c r="B26" s="104" t="s">
        <v>186</v>
      </c>
      <c r="C26" s="97">
        <v>0</v>
      </c>
      <c r="D26" s="97">
        <v>0</v>
      </c>
      <c r="E26" s="97">
        <v>0</v>
      </c>
      <c r="F26" s="97">
        <v>0</v>
      </c>
      <c r="G26" s="97">
        <v>0</v>
      </c>
      <c r="H26" s="97">
        <v>0</v>
      </c>
      <c r="I26" s="97">
        <v>0</v>
      </c>
      <c r="J26" s="81">
        <v>0</v>
      </c>
    </row>
    <row r="27" spans="2:10" x14ac:dyDescent="0.2">
      <c r="B27" s="104" t="s">
        <v>187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81">
        <v>0</v>
      </c>
    </row>
    <row r="28" spans="2:10" x14ac:dyDescent="0.2">
      <c r="B28" s="99" t="s">
        <v>22</v>
      </c>
      <c r="C28" s="100">
        <f t="shared" ref="C28:J28" si="1">SUM(C20:C27)</f>
        <v>0</v>
      </c>
      <c r="D28" s="100">
        <f>SUM(D20:D27)</f>
        <v>0</v>
      </c>
      <c r="E28" s="100">
        <f t="shared" si="1"/>
        <v>0</v>
      </c>
      <c r="F28" s="100">
        <f t="shared" si="1"/>
        <v>0</v>
      </c>
      <c r="G28" s="100">
        <f t="shared" si="1"/>
        <v>0</v>
      </c>
      <c r="H28" s="100">
        <f t="shared" si="1"/>
        <v>0</v>
      </c>
      <c r="I28" s="100">
        <f t="shared" si="1"/>
        <v>0</v>
      </c>
      <c r="J28" s="101">
        <f t="shared" si="1"/>
        <v>0</v>
      </c>
    </row>
    <row r="29" spans="2:10" x14ac:dyDescent="0.2">
      <c r="B29" s="105" t="s">
        <v>93</v>
      </c>
      <c r="J29" s="87"/>
    </row>
    <row r="30" spans="2:10" x14ac:dyDescent="0.2">
      <c r="B30" s="104" t="s">
        <v>94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81">
        <v>0</v>
      </c>
    </row>
    <row r="31" spans="2:10" x14ac:dyDescent="0.2">
      <c r="B31" s="104" t="s">
        <v>188</v>
      </c>
      <c r="C31" s="93">
        <v>0</v>
      </c>
      <c r="D31" s="93">
        <v>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81">
        <v>0</v>
      </c>
    </row>
    <row r="32" spans="2:10" x14ac:dyDescent="0.2">
      <c r="B32" s="104" t="s">
        <v>189</v>
      </c>
      <c r="C32" s="93">
        <v>0</v>
      </c>
      <c r="D32" s="93">
        <v>0</v>
      </c>
      <c r="E32" s="93">
        <v>0</v>
      </c>
      <c r="F32" s="93">
        <v>0</v>
      </c>
      <c r="G32" s="93">
        <v>0</v>
      </c>
      <c r="H32" s="93">
        <v>0</v>
      </c>
      <c r="I32" s="93">
        <v>0</v>
      </c>
      <c r="J32" s="81">
        <v>0</v>
      </c>
    </row>
    <row r="33" spans="2:10" x14ac:dyDescent="0.2">
      <c r="B33" s="104" t="s">
        <v>95</v>
      </c>
      <c r="C33" s="93">
        <v>0</v>
      </c>
      <c r="D33" s="93">
        <v>0</v>
      </c>
      <c r="E33" s="93">
        <v>0</v>
      </c>
      <c r="F33" s="93">
        <v>0</v>
      </c>
      <c r="G33" s="93">
        <v>0</v>
      </c>
      <c r="H33" s="93">
        <v>0</v>
      </c>
      <c r="I33" s="93">
        <v>0</v>
      </c>
      <c r="J33" s="81">
        <v>0</v>
      </c>
    </row>
    <row r="34" spans="2:10" x14ac:dyDescent="0.2">
      <c r="B34" s="104" t="s">
        <v>96</v>
      </c>
      <c r="C34" s="93">
        <v>0</v>
      </c>
      <c r="D34" s="93">
        <v>0</v>
      </c>
      <c r="E34" s="93">
        <v>0</v>
      </c>
      <c r="F34" s="93">
        <v>0</v>
      </c>
      <c r="G34" s="93">
        <v>0</v>
      </c>
      <c r="H34" s="93">
        <v>0</v>
      </c>
      <c r="I34" s="93">
        <v>0</v>
      </c>
      <c r="J34" s="81">
        <v>0</v>
      </c>
    </row>
    <row r="35" spans="2:10" x14ac:dyDescent="0.2">
      <c r="B35" s="104" t="s">
        <v>190</v>
      </c>
      <c r="C35" s="93">
        <v>0</v>
      </c>
      <c r="D35" s="93">
        <v>0</v>
      </c>
      <c r="E35" s="93">
        <v>0</v>
      </c>
      <c r="F35" s="93">
        <v>0</v>
      </c>
      <c r="G35" s="93">
        <v>0</v>
      </c>
      <c r="H35" s="93">
        <v>0</v>
      </c>
      <c r="I35" s="93">
        <v>0</v>
      </c>
      <c r="J35" s="81">
        <v>0</v>
      </c>
    </row>
    <row r="36" spans="2:10" x14ac:dyDescent="0.2">
      <c r="B36" s="104" t="s">
        <v>191</v>
      </c>
      <c r="C36" s="98">
        <v>9</v>
      </c>
      <c r="D36" s="98">
        <v>88061</v>
      </c>
      <c r="E36" s="98">
        <v>2337</v>
      </c>
      <c r="F36" s="98">
        <v>61831</v>
      </c>
      <c r="G36" s="98">
        <v>67609</v>
      </c>
      <c r="H36" s="98">
        <v>16</v>
      </c>
      <c r="I36" s="98">
        <v>9</v>
      </c>
      <c r="J36" s="81">
        <v>9</v>
      </c>
    </row>
    <row r="37" spans="2:10" x14ac:dyDescent="0.2">
      <c r="B37" s="99" t="s">
        <v>22</v>
      </c>
      <c r="C37" s="101">
        <f t="shared" ref="C37:J37" si="2">SUM(C30:C36)</f>
        <v>9</v>
      </c>
      <c r="D37" s="100">
        <f t="shared" si="2"/>
        <v>88061</v>
      </c>
      <c r="E37" s="100">
        <f t="shared" si="2"/>
        <v>2337</v>
      </c>
      <c r="F37" s="100">
        <f t="shared" si="2"/>
        <v>61831</v>
      </c>
      <c r="G37" s="100">
        <f t="shared" si="2"/>
        <v>67609</v>
      </c>
      <c r="H37" s="100">
        <f t="shared" si="2"/>
        <v>16</v>
      </c>
      <c r="I37" s="100">
        <f t="shared" si="2"/>
        <v>9</v>
      </c>
      <c r="J37" s="101">
        <f t="shared" si="2"/>
        <v>9</v>
      </c>
    </row>
    <row r="38" spans="2:10" x14ac:dyDescent="0.2">
      <c r="B38" s="105" t="s">
        <v>97</v>
      </c>
      <c r="C38" s="82"/>
      <c r="D38" s="82"/>
      <c r="E38" s="82"/>
      <c r="J38" s="87"/>
    </row>
    <row r="39" spans="2:10" x14ac:dyDescent="0.2">
      <c r="B39" s="104" t="s">
        <v>98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81">
        <v>0</v>
      </c>
    </row>
    <row r="40" spans="2:10" x14ac:dyDescent="0.2">
      <c r="B40" s="104" t="s">
        <v>99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81">
        <v>0</v>
      </c>
    </row>
    <row r="41" spans="2:10" x14ac:dyDescent="0.2">
      <c r="B41" s="104" t="s">
        <v>100</v>
      </c>
      <c r="C41" s="97">
        <v>1</v>
      </c>
      <c r="D41" s="97">
        <v>5590</v>
      </c>
      <c r="E41" s="97">
        <v>179</v>
      </c>
      <c r="F41" s="97">
        <v>3705</v>
      </c>
      <c r="G41" s="97">
        <v>2474</v>
      </c>
      <c r="H41" s="97">
        <v>1</v>
      </c>
      <c r="I41" s="97">
        <v>1</v>
      </c>
      <c r="J41" s="81">
        <v>1</v>
      </c>
    </row>
    <row r="42" spans="2:10" x14ac:dyDescent="0.2">
      <c r="B42" s="104" t="s">
        <v>192</v>
      </c>
      <c r="C42" s="97">
        <v>0</v>
      </c>
      <c r="D42" s="97">
        <v>0</v>
      </c>
      <c r="E42" s="97">
        <v>0</v>
      </c>
      <c r="F42" s="97">
        <v>0</v>
      </c>
      <c r="G42" s="97">
        <v>0</v>
      </c>
      <c r="H42" s="97">
        <v>0</v>
      </c>
      <c r="I42" s="97">
        <v>0</v>
      </c>
      <c r="J42" s="81">
        <v>0</v>
      </c>
    </row>
    <row r="43" spans="2:10" x14ac:dyDescent="0.2">
      <c r="B43" s="156" t="s">
        <v>193</v>
      </c>
      <c r="C43" s="157">
        <v>0</v>
      </c>
      <c r="D43" s="157">
        <v>0</v>
      </c>
      <c r="E43" s="157">
        <v>0</v>
      </c>
      <c r="F43" s="157">
        <v>0</v>
      </c>
      <c r="G43" s="157">
        <v>0</v>
      </c>
      <c r="H43" s="157">
        <v>0</v>
      </c>
      <c r="I43" s="157">
        <v>0</v>
      </c>
      <c r="J43" s="158">
        <v>0</v>
      </c>
    </row>
    <row r="44" spans="2:10" x14ac:dyDescent="0.2">
      <c r="B44" s="154" t="s">
        <v>22</v>
      </c>
      <c r="C44" s="155">
        <f t="shared" ref="C44:J44" si="3">SUM(C39:C43)</f>
        <v>1</v>
      </c>
      <c r="D44" s="155">
        <f t="shared" si="3"/>
        <v>5590</v>
      </c>
      <c r="E44" s="155">
        <f t="shared" si="3"/>
        <v>179</v>
      </c>
      <c r="F44" s="155">
        <f t="shared" si="3"/>
        <v>3705</v>
      </c>
      <c r="G44" s="155">
        <f t="shared" si="3"/>
        <v>2474</v>
      </c>
      <c r="H44" s="155">
        <f t="shared" si="3"/>
        <v>1</v>
      </c>
      <c r="I44" s="155">
        <f t="shared" si="3"/>
        <v>1</v>
      </c>
      <c r="J44" s="155">
        <f t="shared" si="3"/>
        <v>1</v>
      </c>
    </row>
    <row r="45" spans="2:10" x14ac:dyDescent="0.2">
      <c r="B45" s="105" t="s">
        <v>101</v>
      </c>
      <c r="J45" s="81"/>
    </row>
    <row r="46" spans="2:10" x14ac:dyDescent="0.2">
      <c r="B46" s="104" t="s">
        <v>194</v>
      </c>
      <c r="C46" s="97">
        <v>0</v>
      </c>
      <c r="D46" s="97">
        <v>0</v>
      </c>
      <c r="E46" s="97">
        <v>0</v>
      </c>
      <c r="F46" s="97">
        <v>0</v>
      </c>
      <c r="G46" s="97">
        <v>0</v>
      </c>
      <c r="H46" s="97">
        <v>0</v>
      </c>
      <c r="I46" s="97">
        <v>0</v>
      </c>
      <c r="J46" s="81">
        <v>0</v>
      </c>
    </row>
    <row r="47" spans="2:10" x14ac:dyDescent="0.2">
      <c r="B47" s="104" t="s">
        <v>195</v>
      </c>
      <c r="C47" s="97">
        <v>6</v>
      </c>
      <c r="D47" s="97">
        <v>59920</v>
      </c>
      <c r="E47" s="97">
        <v>825</v>
      </c>
      <c r="F47" s="97">
        <v>22301</v>
      </c>
      <c r="G47" s="97">
        <v>16420</v>
      </c>
      <c r="H47" s="97">
        <v>5</v>
      </c>
      <c r="I47" s="97">
        <v>6</v>
      </c>
      <c r="J47" s="81">
        <v>6</v>
      </c>
    </row>
    <row r="48" spans="2:10" x14ac:dyDescent="0.2">
      <c r="B48" s="104" t="s">
        <v>102</v>
      </c>
      <c r="C48" s="97">
        <v>0</v>
      </c>
      <c r="D48" s="97">
        <v>0</v>
      </c>
      <c r="E48" s="97">
        <v>0</v>
      </c>
      <c r="F48" s="97">
        <v>0</v>
      </c>
      <c r="G48" s="97">
        <v>0</v>
      </c>
      <c r="H48" s="97">
        <v>0</v>
      </c>
      <c r="I48" s="97">
        <v>0</v>
      </c>
      <c r="J48" s="81">
        <v>0</v>
      </c>
    </row>
    <row r="49" spans="2:13" x14ac:dyDescent="0.2">
      <c r="B49" s="104" t="s">
        <v>196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81">
        <v>0</v>
      </c>
    </row>
    <row r="50" spans="2:13" x14ac:dyDescent="0.2">
      <c r="B50" s="104" t="s">
        <v>197</v>
      </c>
      <c r="C50" s="97">
        <v>0</v>
      </c>
      <c r="D50" s="97">
        <v>0</v>
      </c>
      <c r="E50" s="97">
        <v>0</v>
      </c>
      <c r="F50" s="97">
        <v>0</v>
      </c>
      <c r="G50" s="97">
        <v>0</v>
      </c>
      <c r="H50" s="97">
        <v>0</v>
      </c>
      <c r="I50" s="97">
        <v>0</v>
      </c>
      <c r="J50" s="81">
        <v>0</v>
      </c>
    </row>
    <row r="51" spans="2:13" x14ac:dyDescent="0.2">
      <c r="B51" s="104" t="s">
        <v>198</v>
      </c>
      <c r="C51" s="98">
        <v>2</v>
      </c>
      <c r="D51" s="98">
        <v>20553</v>
      </c>
      <c r="E51" s="98">
        <v>413</v>
      </c>
      <c r="F51" s="98">
        <v>23325</v>
      </c>
      <c r="G51" s="98">
        <v>8636</v>
      </c>
      <c r="H51" s="98">
        <v>2</v>
      </c>
      <c r="I51" s="98">
        <v>2</v>
      </c>
      <c r="J51" s="81">
        <v>2</v>
      </c>
    </row>
    <row r="52" spans="2:13" ht="13.5" thickBot="1" x14ac:dyDescent="0.25">
      <c r="B52" s="151" t="s">
        <v>22</v>
      </c>
      <c r="C52" s="152">
        <f t="shared" ref="C52:J52" si="4">SUM(C46:C51)</f>
        <v>8</v>
      </c>
      <c r="D52" s="152">
        <f t="shared" si="4"/>
        <v>80473</v>
      </c>
      <c r="E52" s="152">
        <f t="shared" si="4"/>
        <v>1238</v>
      </c>
      <c r="F52" s="152">
        <f t="shared" si="4"/>
        <v>45626</v>
      </c>
      <c r="G52" s="152">
        <f t="shared" si="4"/>
        <v>25056</v>
      </c>
      <c r="H52" s="152">
        <f t="shared" si="4"/>
        <v>7</v>
      </c>
      <c r="I52" s="152">
        <f t="shared" si="4"/>
        <v>8</v>
      </c>
      <c r="J52" s="153">
        <f t="shared" si="4"/>
        <v>8</v>
      </c>
    </row>
    <row r="53" spans="2:13" x14ac:dyDescent="0.2">
      <c r="B53" s="150"/>
      <c r="C53" s="150"/>
      <c r="D53" s="150"/>
      <c r="E53" s="150"/>
      <c r="F53" s="150"/>
      <c r="G53" s="150"/>
      <c r="H53" s="150"/>
      <c r="I53" s="150"/>
      <c r="J53" s="150"/>
      <c r="K53" s="131"/>
      <c r="L53" s="131"/>
      <c r="M53" s="131"/>
    </row>
    <row r="54" spans="2:13" x14ac:dyDescent="0.2"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</row>
    <row r="55" spans="2:13" x14ac:dyDescent="0.2"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</row>
    <row r="56" spans="2:13" x14ac:dyDescent="0.2"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</row>
    <row r="57" spans="2:13" x14ac:dyDescent="0.2"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</row>
    <row r="58" spans="2:13" x14ac:dyDescent="0.2"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</row>
    <row r="59" spans="2:13" x14ac:dyDescent="0.2"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</row>
    <row r="60" spans="2:13" x14ac:dyDescent="0.2"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</row>
    <row r="61" spans="2:13" x14ac:dyDescent="0.2"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</row>
    <row r="62" spans="2:13" x14ac:dyDescent="0.2">
      <c r="B62" s="929" t="s">
        <v>84</v>
      </c>
      <c r="C62" s="929" t="s">
        <v>85</v>
      </c>
      <c r="D62" s="929" t="s">
        <v>67</v>
      </c>
      <c r="E62" s="929" t="s">
        <v>68</v>
      </c>
      <c r="F62" s="929" t="s">
        <v>69</v>
      </c>
      <c r="G62" s="929" t="s">
        <v>70</v>
      </c>
      <c r="H62" s="929" t="s">
        <v>222</v>
      </c>
      <c r="I62" s="932" t="s">
        <v>223</v>
      </c>
      <c r="J62" s="933"/>
    </row>
    <row r="63" spans="2:13" x14ac:dyDescent="0.2">
      <c r="B63" s="930"/>
      <c r="C63" s="930"/>
      <c r="D63" s="930"/>
      <c r="E63" s="930"/>
      <c r="F63" s="930"/>
      <c r="G63" s="930"/>
      <c r="H63" s="930"/>
      <c r="I63" s="934"/>
      <c r="J63" s="935"/>
    </row>
    <row r="64" spans="2:13" ht="24.75" customHeight="1" x14ac:dyDescent="0.2">
      <c r="B64" s="931"/>
      <c r="C64" s="931"/>
      <c r="D64" s="931"/>
      <c r="E64" s="931"/>
      <c r="F64" s="931"/>
      <c r="G64" s="931"/>
      <c r="H64" s="931"/>
      <c r="I64" s="88" t="s">
        <v>73</v>
      </c>
      <c r="J64" s="89" t="s">
        <v>86</v>
      </c>
    </row>
    <row r="65" spans="1:10" x14ac:dyDescent="0.2">
      <c r="B65" s="90">
        <v>1</v>
      </c>
      <c r="C65" s="90">
        <v>2</v>
      </c>
      <c r="D65" s="90">
        <v>3</v>
      </c>
      <c r="E65" s="90">
        <v>4</v>
      </c>
      <c r="F65" s="90">
        <v>5</v>
      </c>
      <c r="G65" s="90">
        <v>6</v>
      </c>
      <c r="H65" s="90">
        <v>7</v>
      </c>
      <c r="I65" s="90">
        <v>8</v>
      </c>
      <c r="J65" s="106">
        <v>9</v>
      </c>
    </row>
    <row r="66" spans="1:10" x14ac:dyDescent="0.2">
      <c r="A66" s="87"/>
      <c r="B66" s="91" t="s">
        <v>103</v>
      </c>
      <c r="J66" s="87"/>
    </row>
    <row r="67" spans="1:10" x14ac:dyDescent="0.2">
      <c r="B67" s="107" t="s">
        <v>199</v>
      </c>
      <c r="C67" s="93">
        <v>0</v>
      </c>
      <c r="D67" s="93">
        <v>0</v>
      </c>
      <c r="E67" s="93">
        <v>0</v>
      </c>
      <c r="F67" s="93">
        <v>0</v>
      </c>
      <c r="G67" s="93">
        <v>0</v>
      </c>
      <c r="H67" s="93">
        <v>0</v>
      </c>
      <c r="I67" s="93">
        <v>0</v>
      </c>
      <c r="J67" s="81">
        <v>0</v>
      </c>
    </row>
    <row r="68" spans="1:10" x14ac:dyDescent="0.2">
      <c r="B68" s="107" t="s">
        <v>200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81">
        <v>0</v>
      </c>
    </row>
    <row r="69" spans="1:10" x14ac:dyDescent="0.2">
      <c r="B69" s="107" t="s">
        <v>201</v>
      </c>
      <c r="C69" s="93">
        <v>2</v>
      </c>
      <c r="D69" s="93">
        <v>8110</v>
      </c>
      <c r="E69" s="93">
        <v>213</v>
      </c>
      <c r="F69" s="93">
        <v>4246</v>
      </c>
      <c r="G69" s="93">
        <v>5289</v>
      </c>
      <c r="H69" s="93">
        <v>2</v>
      </c>
      <c r="I69" s="93">
        <v>2</v>
      </c>
      <c r="J69" s="81">
        <v>2</v>
      </c>
    </row>
    <row r="70" spans="1:10" x14ac:dyDescent="0.2">
      <c r="B70" s="107" t="s">
        <v>202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81">
        <v>0</v>
      </c>
    </row>
    <row r="71" spans="1:10" x14ac:dyDescent="0.2">
      <c r="B71" s="107" t="s">
        <v>203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81">
        <v>0</v>
      </c>
    </row>
    <row r="72" spans="1:10" x14ac:dyDescent="0.2">
      <c r="B72" s="107" t="s">
        <v>104</v>
      </c>
      <c r="C72" s="93">
        <v>0</v>
      </c>
      <c r="D72" s="93">
        <v>0</v>
      </c>
      <c r="E72" s="93">
        <v>0</v>
      </c>
      <c r="F72" s="93">
        <v>0</v>
      </c>
      <c r="G72" s="93">
        <v>0</v>
      </c>
      <c r="H72" s="93">
        <v>0</v>
      </c>
      <c r="I72" s="93">
        <v>0</v>
      </c>
      <c r="J72" s="81">
        <v>0</v>
      </c>
    </row>
    <row r="73" spans="1:10" x14ac:dyDescent="0.2">
      <c r="B73" s="107" t="s">
        <v>204</v>
      </c>
      <c r="C73" s="93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81">
        <v>0</v>
      </c>
    </row>
    <row r="74" spans="1:10" x14ac:dyDescent="0.2">
      <c r="B74" s="108" t="s">
        <v>22</v>
      </c>
      <c r="C74" s="100">
        <f t="shared" ref="C74:J74" si="5">SUM(C67:C73)</f>
        <v>2</v>
      </c>
      <c r="D74" s="100">
        <f>SUM(D67:D73)</f>
        <v>8110</v>
      </c>
      <c r="E74" s="100">
        <f t="shared" si="5"/>
        <v>213</v>
      </c>
      <c r="F74" s="100">
        <f t="shared" si="5"/>
        <v>4246</v>
      </c>
      <c r="G74" s="100">
        <f t="shared" si="5"/>
        <v>5289</v>
      </c>
      <c r="H74" s="100">
        <f t="shared" si="5"/>
        <v>2</v>
      </c>
      <c r="I74" s="100">
        <f t="shared" si="5"/>
        <v>2</v>
      </c>
      <c r="J74" s="101">
        <f t="shared" si="5"/>
        <v>2</v>
      </c>
    </row>
    <row r="75" spans="1:10" x14ac:dyDescent="0.2">
      <c r="B75" s="109" t="s">
        <v>105</v>
      </c>
      <c r="C75" s="93"/>
      <c r="D75" s="93"/>
      <c r="E75" s="93"/>
      <c r="F75" s="93"/>
      <c r="G75" s="93"/>
      <c r="H75" s="93"/>
      <c r="I75" s="93"/>
      <c r="J75" s="81"/>
    </row>
    <row r="76" spans="1:10" x14ac:dyDescent="0.2">
      <c r="B76" s="107" t="s">
        <v>205</v>
      </c>
      <c r="C76" s="93">
        <v>1</v>
      </c>
      <c r="D76" s="93">
        <v>16274</v>
      </c>
      <c r="E76" s="93">
        <v>221</v>
      </c>
      <c r="F76" s="93">
        <v>11154</v>
      </c>
      <c r="G76" s="93">
        <v>6765</v>
      </c>
      <c r="H76" s="93">
        <v>2</v>
      </c>
      <c r="I76" s="93">
        <v>1</v>
      </c>
      <c r="J76" s="81">
        <v>1</v>
      </c>
    </row>
    <row r="77" spans="1:10" x14ac:dyDescent="0.2">
      <c r="B77" s="107" t="s">
        <v>106</v>
      </c>
      <c r="C77" s="93">
        <v>2</v>
      </c>
      <c r="D77" s="93">
        <v>15587</v>
      </c>
      <c r="E77" s="93">
        <v>326</v>
      </c>
      <c r="F77" s="93">
        <v>3514</v>
      </c>
      <c r="G77" s="93">
        <v>1400</v>
      </c>
      <c r="H77" s="93">
        <v>2</v>
      </c>
      <c r="I77" s="93">
        <v>2</v>
      </c>
      <c r="J77" s="81">
        <v>2</v>
      </c>
    </row>
    <row r="78" spans="1:10" x14ac:dyDescent="0.2">
      <c r="B78" s="107" t="s">
        <v>206</v>
      </c>
      <c r="C78" s="93">
        <v>0</v>
      </c>
      <c r="D78" s="93">
        <v>0</v>
      </c>
      <c r="E78" s="93">
        <v>0</v>
      </c>
      <c r="F78" s="93">
        <v>0</v>
      </c>
      <c r="G78" s="93">
        <v>0</v>
      </c>
      <c r="H78" s="93">
        <v>0</v>
      </c>
      <c r="I78" s="93">
        <v>0</v>
      </c>
      <c r="J78" s="81">
        <v>0</v>
      </c>
    </row>
    <row r="79" spans="1:10" x14ac:dyDescent="0.2">
      <c r="B79" s="107" t="s">
        <v>207</v>
      </c>
      <c r="C79" s="98">
        <v>0</v>
      </c>
      <c r="D79" s="98">
        <v>0</v>
      </c>
      <c r="E79" s="98">
        <v>0</v>
      </c>
      <c r="F79" s="98">
        <v>0</v>
      </c>
      <c r="G79" s="98">
        <v>0</v>
      </c>
      <c r="H79" s="98">
        <v>0</v>
      </c>
      <c r="I79" s="98">
        <v>0</v>
      </c>
      <c r="J79" s="81">
        <v>0</v>
      </c>
    </row>
    <row r="80" spans="1:10" x14ac:dyDescent="0.2">
      <c r="B80" s="108" t="s">
        <v>22</v>
      </c>
      <c r="C80" s="100">
        <f t="shared" ref="C80:J80" si="6">SUM(C76:C79)</f>
        <v>3</v>
      </c>
      <c r="D80" s="100">
        <f t="shared" si="6"/>
        <v>31861</v>
      </c>
      <c r="E80" s="100">
        <f t="shared" si="6"/>
        <v>547</v>
      </c>
      <c r="F80" s="100">
        <f t="shared" si="6"/>
        <v>14668</v>
      </c>
      <c r="G80" s="100">
        <f t="shared" si="6"/>
        <v>8165</v>
      </c>
      <c r="H80" s="100">
        <f t="shared" si="6"/>
        <v>4</v>
      </c>
      <c r="I80" s="100">
        <f t="shared" si="6"/>
        <v>3</v>
      </c>
      <c r="J80" s="101">
        <f t="shared" si="6"/>
        <v>3</v>
      </c>
    </row>
    <row r="81" spans="2:10" x14ac:dyDescent="0.2">
      <c r="B81" s="109" t="s">
        <v>107</v>
      </c>
      <c r="C81" s="93"/>
      <c r="D81" s="93"/>
      <c r="E81" s="93"/>
      <c r="F81" s="93"/>
      <c r="G81" s="93"/>
      <c r="H81" s="93"/>
      <c r="I81" s="93"/>
      <c r="J81" s="81"/>
    </row>
    <row r="82" spans="2:10" x14ac:dyDescent="0.2">
      <c r="B82" s="107" t="s">
        <v>208</v>
      </c>
      <c r="C82" s="93">
        <v>0</v>
      </c>
      <c r="D82" s="93">
        <v>0</v>
      </c>
      <c r="E82" s="93">
        <v>0</v>
      </c>
      <c r="F82" s="93">
        <v>0</v>
      </c>
      <c r="G82" s="93">
        <v>0</v>
      </c>
      <c r="H82" s="93">
        <v>0</v>
      </c>
      <c r="I82" s="93">
        <v>0</v>
      </c>
      <c r="J82" s="81">
        <v>0</v>
      </c>
    </row>
    <row r="83" spans="2:10" x14ac:dyDescent="0.2">
      <c r="B83" s="107" t="s">
        <v>209</v>
      </c>
      <c r="C83" s="93">
        <v>1</v>
      </c>
      <c r="D83" s="93">
        <v>10635</v>
      </c>
      <c r="E83" s="93">
        <v>181</v>
      </c>
      <c r="F83" s="93">
        <v>4636</v>
      </c>
      <c r="G83" s="93">
        <v>5280</v>
      </c>
      <c r="H83" s="93">
        <v>1</v>
      </c>
      <c r="I83" s="93">
        <v>1</v>
      </c>
      <c r="J83" s="81">
        <v>1</v>
      </c>
    </row>
    <row r="84" spans="2:10" x14ac:dyDescent="0.2">
      <c r="B84" s="107" t="s">
        <v>108</v>
      </c>
      <c r="C84" s="93">
        <v>0</v>
      </c>
      <c r="D84" s="93">
        <v>0</v>
      </c>
      <c r="E84" s="93">
        <v>0</v>
      </c>
      <c r="F84" s="93">
        <v>0</v>
      </c>
      <c r="G84" s="93">
        <v>0</v>
      </c>
      <c r="H84" s="93">
        <v>0</v>
      </c>
      <c r="I84" s="93">
        <v>0</v>
      </c>
      <c r="J84" s="81">
        <v>0</v>
      </c>
    </row>
    <row r="85" spans="2:10" x14ac:dyDescent="0.2">
      <c r="B85" s="107" t="s">
        <v>210</v>
      </c>
      <c r="C85" s="93">
        <v>0</v>
      </c>
      <c r="D85" s="93">
        <v>0</v>
      </c>
      <c r="E85" s="93">
        <v>0</v>
      </c>
      <c r="F85" s="93">
        <v>0</v>
      </c>
      <c r="G85" s="93">
        <v>0</v>
      </c>
      <c r="H85" s="93">
        <v>0</v>
      </c>
      <c r="I85" s="93">
        <v>0</v>
      </c>
      <c r="J85" s="81">
        <v>0</v>
      </c>
    </row>
    <row r="86" spans="2:10" x14ac:dyDescent="0.2">
      <c r="B86" s="108" t="s">
        <v>22</v>
      </c>
      <c r="C86" s="101">
        <f t="shared" ref="C86:J86" si="7">SUM(C82:C85)</f>
        <v>1</v>
      </c>
      <c r="D86" s="101">
        <f t="shared" si="7"/>
        <v>10635</v>
      </c>
      <c r="E86" s="101">
        <f t="shared" si="7"/>
        <v>181</v>
      </c>
      <c r="F86" s="101">
        <f t="shared" si="7"/>
        <v>4636</v>
      </c>
      <c r="G86" s="101">
        <f t="shared" si="7"/>
        <v>5280</v>
      </c>
      <c r="H86" s="101">
        <f t="shared" si="7"/>
        <v>1</v>
      </c>
      <c r="I86" s="101">
        <f t="shared" si="7"/>
        <v>1</v>
      </c>
      <c r="J86" s="101">
        <f t="shared" si="7"/>
        <v>1</v>
      </c>
    </row>
    <row r="87" spans="2:10" x14ac:dyDescent="0.2">
      <c r="B87" s="109" t="s">
        <v>109</v>
      </c>
      <c r="C87" s="93"/>
      <c r="D87" s="93"/>
      <c r="E87" s="93"/>
      <c r="F87" s="93"/>
      <c r="G87" s="93"/>
      <c r="H87" s="93"/>
      <c r="I87" s="93"/>
      <c r="J87" s="81"/>
    </row>
    <row r="88" spans="2:10" x14ac:dyDescent="0.2">
      <c r="B88" s="107" t="s">
        <v>211</v>
      </c>
      <c r="C88" s="93">
        <v>0</v>
      </c>
      <c r="D88" s="93">
        <v>0</v>
      </c>
      <c r="E88" s="93">
        <v>0</v>
      </c>
      <c r="F88" s="93">
        <v>0</v>
      </c>
      <c r="G88" s="93">
        <v>0</v>
      </c>
      <c r="H88" s="93">
        <v>0</v>
      </c>
      <c r="I88" s="93">
        <v>0</v>
      </c>
      <c r="J88" s="81">
        <v>0</v>
      </c>
    </row>
    <row r="89" spans="2:10" x14ac:dyDescent="0.2">
      <c r="B89" s="107" t="s">
        <v>212</v>
      </c>
      <c r="C89" s="93">
        <v>0</v>
      </c>
      <c r="D89" s="93">
        <v>0</v>
      </c>
      <c r="E89" s="93">
        <v>0</v>
      </c>
      <c r="F89" s="93">
        <v>0</v>
      </c>
      <c r="G89" s="93">
        <v>0</v>
      </c>
      <c r="H89" s="93">
        <v>0</v>
      </c>
      <c r="I89" s="93">
        <v>0</v>
      </c>
      <c r="J89" s="81">
        <v>0</v>
      </c>
    </row>
    <row r="90" spans="2:10" x14ac:dyDescent="0.2">
      <c r="B90" s="107" t="s">
        <v>213</v>
      </c>
      <c r="C90" s="93">
        <v>5</v>
      </c>
      <c r="D90" s="93">
        <v>32258</v>
      </c>
      <c r="E90" s="93">
        <v>1073</v>
      </c>
      <c r="F90" s="93">
        <v>31646</v>
      </c>
      <c r="G90" s="93">
        <v>33717</v>
      </c>
      <c r="H90" s="93">
        <v>5</v>
      </c>
      <c r="I90" s="93">
        <v>5</v>
      </c>
      <c r="J90" s="81">
        <v>5</v>
      </c>
    </row>
    <row r="91" spans="2:10" x14ac:dyDescent="0.2">
      <c r="B91" s="107" t="s">
        <v>214</v>
      </c>
      <c r="C91" s="93">
        <v>5</v>
      </c>
      <c r="D91" s="93">
        <v>38770</v>
      </c>
      <c r="E91" s="93">
        <v>618</v>
      </c>
      <c r="F91" s="93">
        <v>15267</v>
      </c>
      <c r="G91" s="93">
        <v>15964</v>
      </c>
      <c r="H91" s="93">
        <v>6</v>
      </c>
      <c r="I91" s="93">
        <v>5</v>
      </c>
      <c r="J91" s="81">
        <v>5</v>
      </c>
    </row>
    <row r="92" spans="2:10" x14ac:dyDescent="0.2">
      <c r="B92" s="107" t="s">
        <v>110</v>
      </c>
      <c r="C92" s="93">
        <v>0</v>
      </c>
      <c r="D92" s="93">
        <v>0</v>
      </c>
      <c r="E92" s="93">
        <v>0</v>
      </c>
      <c r="F92" s="93">
        <v>0</v>
      </c>
      <c r="G92" s="93">
        <v>0</v>
      </c>
      <c r="H92" s="93">
        <v>0</v>
      </c>
      <c r="I92" s="93">
        <v>0</v>
      </c>
      <c r="J92" s="81">
        <v>0</v>
      </c>
    </row>
    <row r="93" spans="2:10" x14ac:dyDescent="0.2">
      <c r="B93" s="107" t="s">
        <v>215</v>
      </c>
      <c r="C93" s="93">
        <v>1</v>
      </c>
      <c r="D93" s="98">
        <v>18460</v>
      </c>
      <c r="E93" s="93">
        <v>778</v>
      </c>
      <c r="F93" s="98">
        <v>19809</v>
      </c>
      <c r="G93" s="98">
        <v>12493</v>
      </c>
      <c r="H93" s="98">
        <v>3</v>
      </c>
      <c r="I93" s="98">
        <v>1</v>
      </c>
      <c r="J93" s="81">
        <v>1</v>
      </c>
    </row>
    <row r="94" spans="2:10" x14ac:dyDescent="0.2">
      <c r="B94" s="108" t="s">
        <v>22</v>
      </c>
      <c r="C94" s="100">
        <f t="shared" ref="C94:J94" si="8">SUM(C88:C93)</f>
        <v>11</v>
      </c>
      <c r="D94" s="100">
        <f>SUM(D88:D93)</f>
        <v>89488</v>
      </c>
      <c r="E94" s="100">
        <f t="shared" si="8"/>
        <v>2469</v>
      </c>
      <c r="F94" s="100">
        <f t="shared" si="8"/>
        <v>66722</v>
      </c>
      <c r="G94" s="100">
        <f t="shared" si="8"/>
        <v>62174</v>
      </c>
      <c r="H94" s="100">
        <f t="shared" si="8"/>
        <v>14</v>
      </c>
      <c r="I94" s="100">
        <f t="shared" si="8"/>
        <v>11</v>
      </c>
      <c r="J94" s="101">
        <f t="shared" si="8"/>
        <v>11</v>
      </c>
    </row>
    <row r="95" spans="2:10" x14ac:dyDescent="0.2">
      <c r="B95" s="109" t="s">
        <v>111</v>
      </c>
      <c r="C95" s="93"/>
      <c r="D95" s="93"/>
      <c r="E95" s="93"/>
      <c r="F95" s="93"/>
      <c r="G95" s="93"/>
      <c r="H95" s="93"/>
      <c r="I95" s="93"/>
      <c r="J95" s="81"/>
    </row>
    <row r="96" spans="2:10" x14ac:dyDescent="0.2">
      <c r="B96" s="107" t="s">
        <v>112</v>
      </c>
      <c r="C96" s="93">
        <v>0</v>
      </c>
      <c r="D96" s="93">
        <v>0</v>
      </c>
      <c r="E96" s="93">
        <v>0</v>
      </c>
      <c r="F96" s="93">
        <v>0</v>
      </c>
      <c r="G96" s="93">
        <v>0</v>
      </c>
      <c r="H96" s="93">
        <v>0</v>
      </c>
      <c r="I96" s="93">
        <v>0</v>
      </c>
      <c r="J96" s="81">
        <v>0</v>
      </c>
    </row>
    <row r="97" spans="2:10" x14ac:dyDescent="0.2">
      <c r="B97" s="107" t="s">
        <v>216</v>
      </c>
      <c r="C97" s="93">
        <v>0</v>
      </c>
      <c r="D97" s="93">
        <v>0</v>
      </c>
      <c r="E97" s="93">
        <v>0</v>
      </c>
      <c r="F97" s="93">
        <v>0</v>
      </c>
      <c r="G97" s="93">
        <v>0</v>
      </c>
      <c r="H97" s="93">
        <v>0</v>
      </c>
      <c r="I97" s="93">
        <v>0</v>
      </c>
      <c r="J97" s="81">
        <v>0</v>
      </c>
    </row>
    <row r="98" spans="2:10" x14ac:dyDescent="0.2">
      <c r="B98" s="107" t="s">
        <v>217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81">
        <v>0</v>
      </c>
    </row>
    <row r="99" spans="2:10" x14ac:dyDescent="0.2">
      <c r="B99" s="107" t="s">
        <v>218</v>
      </c>
      <c r="C99" s="93">
        <v>0</v>
      </c>
      <c r="D99" s="93">
        <v>0</v>
      </c>
      <c r="E99" s="93">
        <v>0</v>
      </c>
      <c r="F99" s="93">
        <v>0</v>
      </c>
      <c r="G99" s="93">
        <v>0</v>
      </c>
      <c r="H99" s="93">
        <v>0</v>
      </c>
      <c r="I99" s="93">
        <v>0</v>
      </c>
      <c r="J99" s="81">
        <v>0</v>
      </c>
    </row>
    <row r="100" spans="2:10" x14ac:dyDescent="0.2">
      <c r="B100" s="107" t="s">
        <v>219</v>
      </c>
      <c r="C100" s="93">
        <v>1</v>
      </c>
      <c r="D100" s="93">
        <v>6917</v>
      </c>
      <c r="E100" s="93" t="s">
        <v>281</v>
      </c>
      <c r="F100" s="93">
        <v>2071</v>
      </c>
      <c r="G100" s="93">
        <v>1912</v>
      </c>
      <c r="H100" s="93">
        <v>1</v>
      </c>
      <c r="I100" s="93">
        <v>1</v>
      </c>
      <c r="J100" s="81">
        <v>1</v>
      </c>
    </row>
    <row r="101" spans="2:10" x14ac:dyDescent="0.2">
      <c r="B101" s="107" t="s">
        <v>220</v>
      </c>
      <c r="C101" s="93">
        <v>2</v>
      </c>
      <c r="D101" s="93">
        <v>16023</v>
      </c>
      <c r="E101" s="93">
        <v>298</v>
      </c>
      <c r="F101" s="93">
        <v>4645</v>
      </c>
      <c r="G101" s="93">
        <v>5506</v>
      </c>
      <c r="H101" s="93">
        <v>2</v>
      </c>
      <c r="I101" s="93">
        <v>2</v>
      </c>
      <c r="J101" s="81">
        <v>2</v>
      </c>
    </row>
    <row r="102" spans="2:10" x14ac:dyDescent="0.2">
      <c r="B102" s="107" t="s">
        <v>113</v>
      </c>
      <c r="C102" s="93">
        <v>0</v>
      </c>
      <c r="D102" s="93">
        <v>0</v>
      </c>
      <c r="E102" s="93">
        <v>0</v>
      </c>
      <c r="F102" s="93">
        <v>0</v>
      </c>
      <c r="G102" s="93">
        <v>0</v>
      </c>
      <c r="H102" s="93">
        <v>0</v>
      </c>
      <c r="I102" s="93">
        <v>0</v>
      </c>
      <c r="J102" s="81">
        <v>0</v>
      </c>
    </row>
    <row r="103" spans="2:10" x14ac:dyDescent="0.2">
      <c r="B103" s="107" t="s">
        <v>221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81">
        <v>0</v>
      </c>
    </row>
    <row r="104" spans="2:10" x14ac:dyDescent="0.2">
      <c r="B104" s="108" t="s">
        <v>22</v>
      </c>
      <c r="C104" s="100">
        <f t="shared" ref="C104:J104" si="9">SUM(C96:C103)</f>
        <v>3</v>
      </c>
      <c r="D104" s="100">
        <f t="shared" si="9"/>
        <v>22940</v>
      </c>
      <c r="E104" s="100">
        <f t="shared" si="9"/>
        <v>298</v>
      </c>
      <c r="F104" s="100">
        <f t="shared" si="9"/>
        <v>6716</v>
      </c>
      <c r="G104" s="100">
        <f t="shared" si="9"/>
        <v>7418</v>
      </c>
      <c r="H104" s="100">
        <f t="shared" si="9"/>
        <v>3</v>
      </c>
      <c r="I104" s="100">
        <f t="shared" si="9"/>
        <v>3</v>
      </c>
      <c r="J104" s="101">
        <f t="shared" si="9"/>
        <v>3</v>
      </c>
    </row>
    <row r="105" spans="2:10" x14ac:dyDescent="0.2">
      <c r="B105" s="141" t="s">
        <v>115</v>
      </c>
      <c r="C105" s="142">
        <f t="shared" ref="C105:J105" si="10">SUM(C104,C94,C86,C80,C74,C52,C44,C37,C28,C18)</f>
        <v>45</v>
      </c>
      <c r="D105" s="142">
        <f t="shared" si="10"/>
        <v>424096</v>
      </c>
      <c r="E105" s="142">
        <f t="shared" si="10"/>
        <v>8764</v>
      </c>
      <c r="F105" s="143">
        <f t="shared" si="10"/>
        <v>242468</v>
      </c>
      <c r="G105" s="142">
        <f t="shared" si="10"/>
        <v>216694</v>
      </c>
      <c r="H105" s="142">
        <f t="shared" si="10"/>
        <v>58</v>
      </c>
      <c r="I105" s="142">
        <f t="shared" si="10"/>
        <v>45</v>
      </c>
      <c r="J105" s="143">
        <f t="shared" si="10"/>
        <v>45</v>
      </c>
    </row>
    <row r="106" spans="2:10" x14ac:dyDescent="0.2">
      <c r="B106" s="110" t="s">
        <v>280</v>
      </c>
      <c r="C106" s="111">
        <v>45</v>
      </c>
      <c r="D106" s="111">
        <v>427779</v>
      </c>
      <c r="E106" s="111">
        <v>7102</v>
      </c>
      <c r="F106" s="111">
        <v>233620</v>
      </c>
      <c r="G106" s="111">
        <v>193015</v>
      </c>
      <c r="H106" s="111">
        <v>57</v>
      </c>
      <c r="I106" s="111">
        <v>45</v>
      </c>
      <c r="J106" s="111">
        <v>45</v>
      </c>
    </row>
    <row r="107" spans="2:10" x14ac:dyDescent="0.2">
      <c r="B107" s="110" t="s">
        <v>123</v>
      </c>
      <c r="C107" s="111">
        <f>C105-C106</f>
        <v>0</v>
      </c>
      <c r="D107" s="111">
        <f t="shared" ref="D107:J107" si="11">D105-D106</f>
        <v>-3683</v>
      </c>
      <c r="E107" s="111">
        <f t="shared" si="11"/>
        <v>1662</v>
      </c>
      <c r="F107" s="111">
        <f t="shared" si="11"/>
        <v>8848</v>
      </c>
      <c r="G107" s="111">
        <f t="shared" si="11"/>
        <v>23679</v>
      </c>
      <c r="H107" s="111">
        <f t="shared" si="11"/>
        <v>1</v>
      </c>
      <c r="I107" s="111">
        <f t="shared" si="11"/>
        <v>0</v>
      </c>
      <c r="J107" s="111">
        <f t="shared" si="11"/>
        <v>0</v>
      </c>
    </row>
    <row r="108" spans="2:10" x14ac:dyDescent="0.2">
      <c r="B108" s="82"/>
      <c r="C108" s="82"/>
      <c r="D108" s="82"/>
      <c r="E108" s="82"/>
      <c r="F108" s="82"/>
      <c r="G108" s="82"/>
      <c r="H108" s="82"/>
      <c r="I108" s="82"/>
      <c r="J108" s="82"/>
    </row>
  </sheetData>
  <mergeCells count="20">
    <mergeCell ref="C2:I2"/>
    <mergeCell ref="C3:I3"/>
    <mergeCell ref="C4:I4"/>
    <mergeCell ref="C6:I6"/>
    <mergeCell ref="B8:B10"/>
    <mergeCell ref="C8:C10"/>
    <mergeCell ref="D8:D10"/>
    <mergeCell ref="E8:E10"/>
    <mergeCell ref="F8:F10"/>
    <mergeCell ref="G8:G10"/>
    <mergeCell ref="H8:H10"/>
    <mergeCell ref="I8:J9"/>
    <mergeCell ref="G62:G64"/>
    <mergeCell ref="H62:H64"/>
    <mergeCell ref="I62:J63"/>
    <mergeCell ref="B62:B64"/>
    <mergeCell ref="C62:C64"/>
    <mergeCell ref="D62:D64"/>
    <mergeCell ref="E62:E64"/>
    <mergeCell ref="F62:F64"/>
  </mergeCells>
  <pageMargins left="0.75" right="0.75" top="1" bottom="1" header="0" footer="0"/>
  <pageSetup paperSize="9" scale="89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26"/>
  <sheetViews>
    <sheetView topLeftCell="A4" zoomScale="106" zoomScaleNormal="106" workbookViewId="0">
      <selection activeCell="C17" sqref="C17:J17"/>
    </sheetView>
  </sheetViews>
  <sheetFormatPr defaultColWidth="9.140625" defaultRowHeight="12.75" x14ac:dyDescent="0.2"/>
  <cols>
    <col min="1" max="1" width="9.140625" style="162"/>
    <col min="2" max="2" width="30.7109375" style="162" customWidth="1"/>
    <col min="3" max="6" width="9.140625" style="162"/>
    <col min="7" max="7" width="10.5703125" style="162" customWidth="1"/>
    <col min="8" max="8" width="11.42578125" style="162" customWidth="1"/>
    <col min="9" max="16384" width="9.140625" style="162"/>
  </cols>
  <sheetData>
    <row r="1" spans="2:21" x14ac:dyDescent="0.2">
      <c r="B1" s="161"/>
      <c r="C1" s="161"/>
      <c r="D1" s="161"/>
      <c r="E1" s="161"/>
      <c r="F1" s="161"/>
      <c r="G1" s="161"/>
      <c r="H1" s="161"/>
      <c r="I1" s="161"/>
      <c r="J1" s="161"/>
    </row>
    <row r="2" spans="2:21" x14ac:dyDescent="0.2">
      <c r="B2" s="161"/>
      <c r="C2" s="161"/>
      <c r="D2" s="161"/>
      <c r="E2" s="161"/>
      <c r="F2" s="161"/>
      <c r="G2" s="161"/>
      <c r="H2" s="161"/>
      <c r="I2" s="161"/>
      <c r="J2" s="161"/>
    </row>
    <row r="3" spans="2:21" x14ac:dyDescent="0.2">
      <c r="B3" s="161"/>
      <c r="C3" s="161"/>
      <c r="D3" s="161"/>
      <c r="E3" s="161"/>
      <c r="F3" s="161"/>
      <c r="G3" s="161"/>
      <c r="H3" s="161"/>
      <c r="I3" s="161"/>
      <c r="J3" s="161"/>
    </row>
    <row r="4" spans="2:21" ht="18.75" x14ac:dyDescent="0.3">
      <c r="B4" s="955" t="s">
        <v>124</v>
      </c>
      <c r="C4" s="956"/>
      <c r="D4" s="956"/>
      <c r="E4" s="956"/>
      <c r="F4" s="956"/>
      <c r="G4" s="956"/>
      <c r="H4" s="956"/>
      <c r="I4" s="956"/>
      <c r="J4" s="956"/>
    </row>
    <row r="5" spans="2:21" ht="18" x14ac:dyDescent="0.25">
      <c r="B5" s="955" t="s">
        <v>125</v>
      </c>
      <c r="C5" s="955"/>
      <c r="D5" s="955"/>
      <c r="E5" s="955"/>
      <c r="F5" s="955"/>
      <c r="G5" s="955"/>
      <c r="H5" s="955"/>
      <c r="I5" s="955"/>
      <c r="J5" s="955"/>
    </row>
    <row r="6" spans="2:21" x14ac:dyDescent="0.2">
      <c r="B6" s="161"/>
      <c r="C6" s="161"/>
      <c r="D6" s="161"/>
      <c r="E6" s="161"/>
      <c r="F6" s="161"/>
      <c r="G6" s="161"/>
      <c r="H6" s="161"/>
      <c r="I6" s="161"/>
      <c r="J6" s="161"/>
    </row>
    <row r="7" spans="2:21" x14ac:dyDescent="0.2">
      <c r="B7" s="161"/>
      <c r="C7" s="161"/>
      <c r="D7" s="161"/>
      <c r="E7" s="161"/>
      <c r="F7" s="161"/>
      <c r="G7" s="161"/>
      <c r="H7" s="161"/>
      <c r="I7" s="161"/>
      <c r="J7" s="161"/>
    </row>
    <row r="8" spans="2:21" ht="14.25" x14ac:dyDescent="0.2">
      <c r="B8" s="957" t="s">
        <v>65</v>
      </c>
      <c r="C8" s="957"/>
      <c r="D8" s="957"/>
      <c r="E8" s="957"/>
      <c r="F8" s="957"/>
      <c r="G8" s="957"/>
      <c r="H8" s="957"/>
      <c r="I8" s="957"/>
      <c r="J8" s="957"/>
    </row>
    <row r="9" spans="2:21" x14ac:dyDescent="0.2">
      <c r="B9" s="161"/>
      <c r="C9" s="161"/>
      <c r="D9" s="161"/>
      <c r="E9" s="161"/>
      <c r="F9" s="161"/>
      <c r="G9" s="161"/>
      <c r="H9" s="161"/>
      <c r="I9" s="161"/>
      <c r="J9" s="161"/>
    </row>
    <row r="10" spans="2:21" ht="14.25" x14ac:dyDescent="0.2">
      <c r="B10" s="161"/>
      <c r="C10" s="161"/>
      <c r="D10" s="161"/>
      <c r="E10" s="161"/>
      <c r="F10" s="161"/>
      <c r="G10" s="161"/>
      <c r="H10" s="957" t="s">
        <v>287</v>
      </c>
      <c r="I10" s="957"/>
      <c r="J10" s="957"/>
    </row>
    <row r="11" spans="2:21" x14ac:dyDescent="0.2">
      <c r="B11" s="161"/>
      <c r="C11" s="161"/>
      <c r="D11" s="161"/>
      <c r="E11" s="161"/>
      <c r="F11" s="161"/>
      <c r="G11" s="161"/>
      <c r="H11" s="161"/>
      <c r="I11" s="161"/>
      <c r="J11" s="161"/>
    </row>
    <row r="12" spans="2:21" x14ac:dyDescent="0.2">
      <c r="B12" s="958"/>
      <c r="C12" s="946" t="s">
        <v>66</v>
      </c>
      <c r="D12" s="946" t="s">
        <v>126</v>
      </c>
      <c r="E12" s="946" t="s">
        <v>68</v>
      </c>
      <c r="F12" s="946" t="s">
        <v>69</v>
      </c>
      <c r="G12" s="946" t="s">
        <v>70</v>
      </c>
      <c r="H12" s="946" t="s">
        <v>222</v>
      </c>
      <c r="I12" s="949" t="s">
        <v>223</v>
      </c>
      <c r="J12" s="950"/>
      <c r="U12" s="131"/>
    </row>
    <row r="13" spans="2:21" x14ac:dyDescent="0.2">
      <c r="B13" s="959"/>
      <c r="C13" s="947"/>
      <c r="D13" s="947"/>
      <c r="E13" s="947"/>
      <c r="F13" s="947"/>
      <c r="G13" s="947"/>
      <c r="H13" s="947"/>
      <c r="I13" s="951"/>
      <c r="J13" s="952"/>
      <c r="U13" s="131"/>
    </row>
    <row r="14" spans="2:21" x14ac:dyDescent="0.2">
      <c r="B14" s="959"/>
      <c r="C14" s="947"/>
      <c r="D14" s="947"/>
      <c r="E14" s="947"/>
      <c r="F14" s="947"/>
      <c r="G14" s="947"/>
      <c r="H14" s="947"/>
      <c r="I14" s="953" t="s">
        <v>22</v>
      </c>
      <c r="J14" s="946" t="s">
        <v>86</v>
      </c>
      <c r="U14" s="131"/>
    </row>
    <row r="15" spans="2:21" x14ac:dyDescent="0.2">
      <c r="B15" s="960"/>
      <c r="C15" s="948"/>
      <c r="D15" s="948"/>
      <c r="E15" s="948"/>
      <c r="F15" s="948"/>
      <c r="G15" s="948"/>
      <c r="H15" s="948"/>
      <c r="I15" s="954"/>
      <c r="J15" s="948"/>
    </row>
    <row r="16" spans="2:21" x14ac:dyDescent="0.2">
      <c r="B16" s="163">
        <v>1</v>
      </c>
      <c r="C16" s="164">
        <v>2</v>
      </c>
      <c r="D16" s="178">
        <v>3</v>
      </c>
      <c r="E16" s="178">
        <v>4</v>
      </c>
      <c r="F16" s="179">
        <v>5</v>
      </c>
      <c r="G16" s="178">
        <v>6</v>
      </c>
      <c r="H16" s="180">
        <v>7</v>
      </c>
      <c r="I16" s="178">
        <v>8</v>
      </c>
      <c r="J16" s="181">
        <v>9</v>
      </c>
    </row>
    <row r="17" spans="2:10" x14ac:dyDescent="0.2">
      <c r="B17" s="165" t="s">
        <v>127</v>
      </c>
      <c r="C17" s="326">
        <v>1</v>
      </c>
      <c r="D17" s="327">
        <v>9076</v>
      </c>
      <c r="E17" s="328">
        <v>221</v>
      </c>
      <c r="F17" s="329">
        <v>6812</v>
      </c>
      <c r="G17" s="328">
        <v>3826</v>
      </c>
      <c r="H17" s="330">
        <v>1</v>
      </c>
      <c r="I17" s="328">
        <v>1</v>
      </c>
      <c r="J17" s="331">
        <v>1</v>
      </c>
    </row>
    <row r="18" spans="2:10" x14ac:dyDescent="0.2">
      <c r="B18" s="166" t="s">
        <v>280</v>
      </c>
      <c r="C18" s="167">
        <v>1</v>
      </c>
      <c r="D18" s="322">
        <v>8857</v>
      </c>
      <c r="E18" s="323">
        <v>230</v>
      </c>
      <c r="F18" s="322">
        <v>7506</v>
      </c>
      <c r="G18" s="323">
        <v>3539</v>
      </c>
      <c r="H18" s="324">
        <v>1</v>
      </c>
      <c r="I18" s="323">
        <v>1</v>
      </c>
      <c r="J18" s="325">
        <v>1</v>
      </c>
    </row>
    <row r="19" spans="2:10" ht="13.5" thickBot="1" x14ac:dyDescent="0.25">
      <c r="B19" s="320" t="s">
        <v>76</v>
      </c>
      <c r="C19" s="321">
        <f>SUM(C17-C18)</f>
        <v>0</v>
      </c>
      <c r="D19" s="321">
        <f t="shared" ref="D19:J19" si="0">SUM(D17-D18)</f>
        <v>219</v>
      </c>
      <c r="E19" s="321">
        <f>SUM(E17-E18)</f>
        <v>-9</v>
      </c>
      <c r="F19" s="321">
        <f t="shared" si="0"/>
        <v>-694</v>
      </c>
      <c r="G19" s="321">
        <f t="shared" si="0"/>
        <v>287</v>
      </c>
      <c r="H19" s="321">
        <f t="shared" si="0"/>
        <v>0</v>
      </c>
      <c r="I19" s="321">
        <f t="shared" si="0"/>
        <v>0</v>
      </c>
      <c r="J19" s="321">
        <f t="shared" si="0"/>
        <v>0</v>
      </c>
    </row>
    <row r="20" spans="2:10" x14ac:dyDescent="0.2">
      <c r="B20" s="169" t="s">
        <v>128</v>
      </c>
      <c r="C20" s="332">
        <v>16</v>
      </c>
      <c r="D20" s="333">
        <v>544510</v>
      </c>
      <c r="E20" s="332">
        <v>815</v>
      </c>
      <c r="F20" s="333">
        <v>4244</v>
      </c>
      <c r="G20" s="332">
        <v>6332</v>
      </c>
      <c r="H20" s="333">
        <v>16</v>
      </c>
      <c r="I20" s="332">
        <v>14</v>
      </c>
      <c r="J20" s="334">
        <v>14</v>
      </c>
    </row>
    <row r="21" spans="2:10" x14ac:dyDescent="0.2">
      <c r="B21" s="166" t="s">
        <v>280</v>
      </c>
      <c r="C21" s="336">
        <v>16</v>
      </c>
      <c r="D21" s="337">
        <v>499667</v>
      </c>
      <c r="E21" s="338">
        <v>728</v>
      </c>
      <c r="F21" s="337">
        <v>4065</v>
      </c>
      <c r="G21" s="338">
        <v>4218</v>
      </c>
      <c r="H21" s="337">
        <v>18</v>
      </c>
      <c r="I21" s="338">
        <v>14</v>
      </c>
      <c r="J21" s="339">
        <v>14</v>
      </c>
    </row>
    <row r="22" spans="2:10" x14ac:dyDescent="0.2">
      <c r="B22" s="172" t="s">
        <v>76</v>
      </c>
      <c r="C22" s="335">
        <f>SUM(C20-C21)</f>
        <v>0</v>
      </c>
      <c r="D22" s="335">
        <f t="shared" ref="D22:J22" si="1">SUM(D20-D21)</f>
        <v>44843</v>
      </c>
      <c r="E22" s="335">
        <f t="shared" si="1"/>
        <v>87</v>
      </c>
      <c r="F22" s="335">
        <f t="shared" si="1"/>
        <v>179</v>
      </c>
      <c r="G22" s="335">
        <f t="shared" si="1"/>
        <v>2114</v>
      </c>
      <c r="H22" s="335">
        <f t="shared" si="1"/>
        <v>-2</v>
      </c>
      <c r="I22" s="335">
        <f t="shared" si="1"/>
        <v>0</v>
      </c>
      <c r="J22" s="335">
        <f t="shared" si="1"/>
        <v>0</v>
      </c>
    </row>
    <row r="23" spans="2:10" x14ac:dyDescent="0.2">
      <c r="B23" s="161"/>
      <c r="C23" s="161"/>
      <c r="D23" s="161"/>
      <c r="E23" s="161"/>
      <c r="F23" s="161"/>
      <c r="G23" s="161"/>
      <c r="H23" s="161"/>
      <c r="I23" s="161"/>
      <c r="J23" s="161"/>
    </row>
    <row r="24" spans="2:10" x14ac:dyDescent="0.2">
      <c r="B24" s="161"/>
      <c r="C24" s="161"/>
      <c r="D24" s="161"/>
      <c r="E24" s="161"/>
      <c r="F24" s="161"/>
      <c r="G24" s="161"/>
      <c r="H24" s="161"/>
      <c r="I24" s="161"/>
      <c r="J24" s="161"/>
    </row>
    <row r="25" spans="2:10" x14ac:dyDescent="0.2">
      <c r="B25" s="161"/>
      <c r="C25" s="161"/>
      <c r="D25" s="161"/>
      <c r="E25" s="161"/>
      <c r="F25" s="161"/>
      <c r="G25" s="161"/>
      <c r="H25" s="161"/>
      <c r="I25" s="161"/>
      <c r="J25" s="161"/>
    </row>
    <row r="26" spans="2:10" x14ac:dyDescent="0.2">
      <c r="B26" s="161"/>
      <c r="C26" s="161"/>
      <c r="D26" s="161"/>
      <c r="E26" s="161"/>
      <c r="F26" s="161"/>
      <c r="G26" s="161"/>
      <c r="H26" s="161"/>
      <c r="I26" s="161"/>
      <c r="J26" s="161"/>
    </row>
  </sheetData>
  <mergeCells count="14">
    <mergeCell ref="H12:H15"/>
    <mergeCell ref="I12:J13"/>
    <mergeCell ref="I14:I15"/>
    <mergeCell ref="J14:J15"/>
    <mergeCell ref="B4:J4"/>
    <mergeCell ref="B5:J5"/>
    <mergeCell ref="B8:J8"/>
    <mergeCell ref="H10:J10"/>
    <mergeCell ref="B12:B15"/>
    <mergeCell ref="C12:C15"/>
    <mergeCell ref="D12:D15"/>
    <mergeCell ref="E12:E15"/>
    <mergeCell ref="F12:F15"/>
    <mergeCell ref="G12:G15"/>
  </mergeCells>
  <pageMargins left="0.75" right="0.75" top="1" bottom="1" header="0.5" footer="0.5"/>
  <pageSetup paperSize="9" scale="73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1"/>
  <sheetViews>
    <sheetView zoomScale="98" zoomScaleNormal="98" workbookViewId="0">
      <selection activeCell="G30" sqref="G30"/>
    </sheetView>
  </sheetViews>
  <sheetFormatPr defaultColWidth="9.140625" defaultRowHeight="12.75" x14ac:dyDescent="0.2"/>
  <cols>
    <col min="1" max="1" width="9.140625" style="162"/>
    <col min="2" max="2" width="19.7109375" style="162" customWidth="1"/>
    <col min="3" max="3" width="8.42578125" style="162" customWidth="1"/>
    <col min="4" max="4" width="8.85546875" style="162" customWidth="1"/>
    <col min="5" max="5" width="8.42578125" style="162" customWidth="1"/>
    <col min="6" max="6" width="8.7109375" style="162" customWidth="1"/>
    <col min="7" max="7" width="10.140625" style="162" customWidth="1"/>
    <col min="8" max="8" width="11.28515625" style="162" customWidth="1"/>
    <col min="9" max="16384" width="9.140625" style="162"/>
  </cols>
  <sheetData>
    <row r="2" spans="2:21" ht="15" x14ac:dyDescent="0.2">
      <c r="B2" s="961" t="s">
        <v>129</v>
      </c>
      <c r="C2" s="961"/>
      <c r="D2" s="961"/>
      <c r="E2" s="961"/>
      <c r="F2" s="961"/>
      <c r="G2" s="961"/>
      <c r="H2" s="961"/>
      <c r="I2" s="961"/>
      <c r="J2" s="961"/>
    </row>
    <row r="3" spans="2:21" ht="15" x14ac:dyDescent="0.2">
      <c r="B3" s="961" t="s">
        <v>130</v>
      </c>
      <c r="C3" s="961"/>
      <c r="D3" s="961"/>
      <c r="E3" s="961"/>
      <c r="F3" s="961"/>
      <c r="G3" s="961"/>
      <c r="H3" s="961"/>
      <c r="I3" s="961"/>
      <c r="J3" s="961"/>
    </row>
    <row r="4" spans="2:21" ht="15.75" x14ac:dyDescent="0.25">
      <c r="B4" s="173"/>
      <c r="C4" s="173"/>
      <c r="D4" s="173"/>
      <c r="E4" s="173"/>
      <c r="F4" s="173"/>
      <c r="G4" s="173"/>
      <c r="H4" s="173"/>
      <c r="I4" s="173"/>
      <c r="J4" s="173"/>
    </row>
    <row r="5" spans="2:21" ht="15.75" x14ac:dyDescent="0.25">
      <c r="B5" s="174"/>
      <c r="C5" s="175"/>
      <c r="D5" s="175"/>
      <c r="E5" s="175"/>
      <c r="F5" s="175"/>
      <c r="G5" s="175"/>
      <c r="H5" s="175"/>
      <c r="I5" s="962" t="s">
        <v>283</v>
      </c>
      <c r="J5" s="962"/>
    </row>
    <row r="6" spans="2:21" ht="15" x14ac:dyDescent="0.2">
      <c r="B6" s="963" t="s">
        <v>65</v>
      </c>
      <c r="C6" s="963"/>
      <c r="D6" s="963"/>
      <c r="E6" s="963"/>
      <c r="F6" s="963"/>
      <c r="G6" s="963"/>
      <c r="H6" s="963"/>
      <c r="I6" s="963"/>
      <c r="J6" s="963"/>
    </row>
    <row r="7" spans="2:21" ht="15.75" x14ac:dyDescent="0.25">
      <c r="B7" s="176"/>
      <c r="C7" s="175"/>
      <c r="D7" s="175"/>
      <c r="E7" s="175"/>
      <c r="F7" s="175"/>
      <c r="G7" s="175"/>
      <c r="H7" s="175"/>
      <c r="I7" s="175"/>
      <c r="J7" s="175"/>
    </row>
    <row r="8" spans="2:21" x14ac:dyDescent="0.2">
      <c r="B8" s="958"/>
      <c r="C8" s="946" t="s">
        <v>66</v>
      </c>
      <c r="D8" s="946" t="s">
        <v>67</v>
      </c>
      <c r="E8" s="946" t="s">
        <v>68</v>
      </c>
      <c r="F8" s="946" t="s">
        <v>69</v>
      </c>
      <c r="G8" s="946" t="s">
        <v>70</v>
      </c>
      <c r="H8" s="946" t="s">
        <v>222</v>
      </c>
      <c r="I8" s="949" t="s">
        <v>223</v>
      </c>
      <c r="J8" s="950"/>
    </row>
    <row r="9" spans="2:21" x14ac:dyDescent="0.2">
      <c r="B9" s="959"/>
      <c r="C9" s="947"/>
      <c r="D9" s="947"/>
      <c r="E9" s="947"/>
      <c r="F9" s="947"/>
      <c r="G9" s="947"/>
      <c r="H9" s="947"/>
      <c r="I9" s="951"/>
      <c r="J9" s="952"/>
    </row>
    <row r="10" spans="2:21" x14ac:dyDescent="0.2">
      <c r="B10" s="959"/>
      <c r="C10" s="947"/>
      <c r="D10" s="947"/>
      <c r="E10" s="947"/>
      <c r="F10" s="947"/>
      <c r="G10" s="947"/>
      <c r="H10" s="947"/>
      <c r="I10" s="953" t="s">
        <v>73</v>
      </c>
      <c r="J10" s="946" t="s">
        <v>86</v>
      </c>
    </row>
    <row r="11" spans="2:21" x14ac:dyDescent="0.2">
      <c r="B11" s="960"/>
      <c r="C11" s="948"/>
      <c r="D11" s="948"/>
      <c r="E11" s="948"/>
      <c r="F11" s="948"/>
      <c r="G11" s="948"/>
      <c r="H11" s="948"/>
      <c r="I11" s="954"/>
      <c r="J11" s="948"/>
    </row>
    <row r="12" spans="2:21" ht="13.5" thickBot="1" x14ac:dyDescent="0.25">
      <c r="B12" s="177">
        <v>1</v>
      </c>
      <c r="C12" s="178">
        <v>2</v>
      </c>
      <c r="D12" s="178">
        <v>3</v>
      </c>
      <c r="E12" s="178">
        <v>4</v>
      </c>
      <c r="F12" s="179">
        <v>5</v>
      </c>
      <c r="G12" s="178">
        <v>6</v>
      </c>
      <c r="H12" s="180">
        <v>7</v>
      </c>
      <c r="I12" s="178">
        <v>8</v>
      </c>
      <c r="J12" s="181">
        <v>9</v>
      </c>
      <c r="U12" s="131"/>
    </row>
    <row r="13" spans="2:21" ht="33.75" x14ac:dyDescent="0.2">
      <c r="B13" s="576" t="s">
        <v>275</v>
      </c>
      <c r="C13" s="170">
        <v>1</v>
      </c>
      <c r="D13" s="340">
        <v>3701827</v>
      </c>
      <c r="E13" s="341">
        <v>9012</v>
      </c>
      <c r="F13" s="342">
        <v>64147</v>
      </c>
      <c r="G13" s="341">
        <v>26516</v>
      </c>
      <c r="H13" s="343">
        <v>96</v>
      </c>
      <c r="I13" s="341">
        <v>1</v>
      </c>
      <c r="J13" s="344">
        <v>1</v>
      </c>
      <c r="U13" s="131"/>
    </row>
    <row r="14" spans="2:21" x14ac:dyDescent="0.2">
      <c r="B14" s="182" t="s">
        <v>280</v>
      </c>
      <c r="C14" s="167">
        <v>1</v>
      </c>
      <c r="D14" s="345">
        <v>3720746</v>
      </c>
      <c r="E14" s="346">
        <v>9530</v>
      </c>
      <c r="F14" s="345">
        <v>57684</v>
      </c>
      <c r="G14" s="346">
        <v>21802</v>
      </c>
      <c r="H14" s="347">
        <v>96</v>
      </c>
      <c r="I14" s="346">
        <v>1</v>
      </c>
      <c r="J14" s="348">
        <v>1</v>
      </c>
      <c r="U14" s="131"/>
    </row>
    <row r="15" spans="2:21" ht="13.5" thickBot="1" x14ac:dyDescent="0.25">
      <c r="B15" s="183" t="s">
        <v>131</v>
      </c>
      <c r="C15" s="184">
        <f>SUM(C13-C14)</f>
        <v>0</v>
      </c>
      <c r="D15" s="184">
        <f t="shared" ref="D15:J15" si="0">SUM(D13-D14)</f>
        <v>-18919</v>
      </c>
      <c r="E15" s="184">
        <f t="shared" si="0"/>
        <v>-518</v>
      </c>
      <c r="F15" s="184">
        <f t="shared" si="0"/>
        <v>6463</v>
      </c>
      <c r="G15" s="184">
        <f t="shared" si="0"/>
        <v>4714</v>
      </c>
      <c r="H15" s="185">
        <f>SUM(H13-H14)</f>
        <v>0</v>
      </c>
      <c r="I15" s="184">
        <f t="shared" si="0"/>
        <v>0</v>
      </c>
      <c r="J15" s="184">
        <f t="shared" si="0"/>
        <v>0</v>
      </c>
    </row>
    <row r="16" spans="2:21" x14ac:dyDescent="0.2">
      <c r="B16" s="169" t="s">
        <v>132</v>
      </c>
      <c r="C16" s="332">
        <v>3</v>
      </c>
      <c r="D16" s="333">
        <v>626118</v>
      </c>
      <c r="E16" s="332">
        <v>197</v>
      </c>
      <c r="F16" s="333">
        <v>4087</v>
      </c>
      <c r="G16" s="332">
        <v>1037</v>
      </c>
      <c r="H16" s="333">
        <v>10</v>
      </c>
      <c r="I16" s="332">
        <v>3</v>
      </c>
      <c r="J16" s="334">
        <v>3</v>
      </c>
    </row>
    <row r="17" spans="2:10" x14ac:dyDescent="0.2">
      <c r="B17" s="166" t="s">
        <v>280</v>
      </c>
      <c r="C17" s="349">
        <v>3</v>
      </c>
      <c r="D17" s="349">
        <v>626091</v>
      </c>
      <c r="E17" s="349">
        <v>233</v>
      </c>
      <c r="F17" s="349">
        <v>9443</v>
      </c>
      <c r="G17" s="349">
        <v>1142</v>
      </c>
      <c r="H17" s="349">
        <v>9</v>
      </c>
      <c r="I17" s="349">
        <v>3</v>
      </c>
      <c r="J17" s="349">
        <v>3</v>
      </c>
    </row>
    <row r="18" spans="2:10" ht="13.5" thickBot="1" x14ac:dyDescent="0.25">
      <c r="B18" s="183" t="s">
        <v>131</v>
      </c>
      <c r="C18" s="184">
        <f>SUM(C16-C17)</f>
        <v>0</v>
      </c>
      <c r="D18" s="184">
        <f t="shared" ref="D18:J18" si="1">SUM(D16-D17)</f>
        <v>27</v>
      </c>
      <c r="E18" s="184">
        <f t="shared" si="1"/>
        <v>-36</v>
      </c>
      <c r="F18" s="184">
        <f t="shared" si="1"/>
        <v>-5356</v>
      </c>
      <c r="G18" s="184">
        <f t="shared" si="1"/>
        <v>-105</v>
      </c>
      <c r="H18" s="184">
        <f t="shared" si="1"/>
        <v>1</v>
      </c>
      <c r="I18" s="184">
        <f t="shared" si="1"/>
        <v>0</v>
      </c>
      <c r="J18" s="184">
        <f t="shared" si="1"/>
        <v>0</v>
      </c>
    </row>
    <row r="19" spans="2:10" x14ac:dyDescent="0.2">
      <c r="B19" s="186" t="s">
        <v>276</v>
      </c>
      <c r="C19" s="187">
        <f>SUM(C13,C16)</f>
        <v>4</v>
      </c>
      <c r="D19" s="187">
        <f>SUM(D13,D16)</f>
        <v>4327945</v>
      </c>
      <c r="E19" s="187">
        <f t="shared" ref="E19:J19" si="2">SUM(E13,E16)</f>
        <v>9209</v>
      </c>
      <c r="F19" s="187">
        <f t="shared" si="2"/>
        <v>68234</v>
      </c>
      <c r="G19" s="187">
        <f t="shared" si="2"/>
        <v>27553</v>
      </c>
      <c r="H19" s="187">
        <f t="shared" si="2"/>
        <v>106</v>
      </c>
      <c r="I19" s="187">
        <f t="shared" si="2"/>
        <v>4</v>
      </c>
      <c r="J19" s="187">
        <f t="shared" si="2"/>
        <v>4</v>
      </c>
    </row>
    <row r="20" spans="2:10" x14ac:dyDescent="0.2">
      <c r="B20" s="182" t="s">
        <v>280</v>
      </c>
      <c r="C20" s="171">
        <v>4</v>
      </c>
      <c r="D20" s="171">
        <v>4346837</v>
      </c>
      <c r="E20" s="171">
        <v>9763</v>
      </c>
      <c r="F20" s="171">
        <v>67127</v>
      </c>
      <c r="G20" s="171">
        <v>22944</v>
      </c>
      <c r="H20" s="171">
        <v>105</v>
      </c>
      <c r="I20" s="171">
        <v>4</v>
      </c>
      <c r="J20" s="171">
        <v>4</v>
      </c>
    </row>
    <row r="21" spans="2:10" x14ac:dyDescent="0.2">
      <c r="B21" s="172" t="s">
        <v>131</v>
      </c>
      <c r="C21" s="188">
        <f>SUM(C19-C20)</f>
        <v>0</v>
      </c>
      <c r="D21" s="188">
        <f>D19-D20</f>
        <v>-18892</v>
      </c>
      <c r="E21" s="188">
        <f>E19-E20</f>
        <v>-554</v>
      </c>
      <c r="F21" s="188">
        <f>F19-F20</f>
        <v>1107</v>
      </c>
      <c r="G21" s="188">
        <f>G19-G20</f>
        <v>4609</v>
      </c>
      <c r="H21" s="188">
        <f t="shared" ref="H21:J21" si="3">H19-H20</f>
        <v>1</v>
      </c>
      <c r="I21" s="188">
        <f t="shared" si="3"/>
        <v>0</v>
      </c>
      <c r="J21" s="188">
        <f t="shared" si="3"/>
        <v>0</v>
      </c>
    </row>
  </sheetData>
  <mergeCells count="14">
    <mergeCell ref="H8:H11"/>
    <mergeCell ref="I8:J9"/>
    <mergeCell ref="I10:I11"/>
    <mergeCell ref="J10:J11"/>
    <mergeCell ref="B2:J2"/>
    <mergeCell ref="B3:J3"/>
    <mergeCell ref="I5:J5"/>
    <mergeCell ref="B6:J6"/>
    <mergeCell ref="B8:B11"/>
    <mergeCell ref="C8:C11"/>
    <mergeCell ref="D8:D11"/>
    <mergeCell ref="E8:E11"/>
    <mergeCell ref="F8:F11"/>
    <mergeCell ref="G8:G11"/>
  </mergeCells>
  <pageMargins left="0.61" right="0.75" top="1" bottom="1" header="0.5" footer="0.5"/>
  <pageSetup paperSize="9" scale="8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31"/>
  <sheetViews>
    <sheetView zoomScaleNormal="100" workbookViewId="0">
      <selection activeCell="C15" sqref="C15:J15"/>
    </sheetView>
  </sheetViews>
  <sheetFormatPr defaultColWidth="9.140625" defaultRowHeight="12.75" x14ac:dyDescent="0.2"/>
  <cols>
    <col min="1" max="1" width="9.140625" style="162"/>
    <col min="2" max="2" width="23.140625" style="162" customWidth="1"/>
    <col min="3" max="3" width="10.28515625" style="162" customWidth="1"/>
    <col min="4" max="4" width="10" style="162" customWidth="1"/>
    <col min="5" max="6" width="9.140625" style="162"/>
    <col min="7" max="7" width="10.28515625" style="162" customWidth="1"/>
    <col min="8" max="8" width="10.85546875" style="162" customWidth="1"/>
    <col min="9" max="16384" width="9.140625" style="162"/>
  </cols>
  <sheetData>
    <row r="2" spans="2:21" ht="15" x14ac:dyDescent="0.2">
      <c r="B2" s="961" t="s">
        <v>133</v>
      </c>
      <c r="C2" s="961"/>
      <c r="D2" s="961"/>
      <c r="E2" s="961"/>
      <c r="F2" s="961"/>
      <c r="G2" s="961"/>
      <c r="H2" s="961"/>
      <c r="I2" s="961"/>
      <c r="J2" s="961"/>
    </row>
    <row r="3" spans="2:21" ht="15.75" x14ac:dyDescent="0.25">
      <c r="B3" s="173"/>
      <c r="C3" s="173"/>
      <c r="D3" s="173"/>
      <c r="E3" s="173"/>
      <c r="F3" s="173"/>
      <c r="G3" s="173"/>
      <c r="H3" s="173"/>
      <c r="I3" s="173"/>
      <c r="J3" s="173"/>
    </row>
    <row r="4" spans="2:21" ht="15.75" x14ac:dyDescent="0.25">
      <c r="B4" s="174"/>
      <c r="C4" s="175"/>
      <c r="D4" s="175"/>
      <c r="E4" s="175"/>
      <c r="F4" s="175"/>
      <c r="G4" s="175"/>
      <c r="H4" s="175"/>
      <c r="I4" s="962" t="s">
        <v>283</v>
      </c>
      <c r="J4" s="962"/>
    </row>
    <row r="5" spans="2:21" ht="15" x14ac:dyDescent="0.2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ht="15" x14ac:dyDescent="0.2">
      <c r="B6" s="189"/>
      <c r="C6" s="189"/>
      <c r="D6" s="189"/>
      <c r="E6" s="189"/>
      <c r="F6" s="189"/>
      <c r="G6" s="189"/>
      <c r="H6" s="189"/>
      <c r="I6" s="189"/>
      <c r="J6" s="189"/>
    </row>
    <row r="7" spans="2:21" x14ac:dyDescent="0.2">
      <c r="B7" s="958"/>
      <c r="C7" s="946" t="s">
        <v>66</v>
      </c>
      <c r="D7" s="946" t="s">
        <v>67</v>
      </c>
      <c r="E7" s="946" t="s">
        <v>68</v>
      </c>
      <c r="F7" s="946" t="s">
        <v>69</v>
      </c>
      <c r="G7" s="946" t="s">
        <v>70</v>
      </c>
      <c r="H7" s="946" t="s">
        <v>222</v>
      </c>
      <c r="I7" s="964" t="s">
        <v>223</v>
      </c>
      <c r="J7" s="965"/>
    </row>
    <row r="8" spans="2:21" x14ac:dyDescent="0.2">
      <c r="B8" s="959"/>
      <c r="C8" s="947"/>
      <c r="D8" s="947"/>
      <c r="E8" s="947"/>
      <c r="F8" s="947"/>
      <c r="G8" s="947"/>
      <c r="H8" s="947"/>
      <c r="I8" s="966"/>
      <c r="J8" s="967"/>
    </row>
    <row r="9" spans="2:21" x14ac:dyDescent="0.2">
      <c r="B9" s="959"/>
      <c r="C9" s="947"/>
      <c r="D9" s="947"/>
      <c r="E9" s="947"/>
      <c r="F9" s="947"/>
      <c r="G9" s="947"/>
      <c r="H9" s="947"/>
      <c r="I9" s="953" t="s">
        <v>22</v>
      </c>
      <c r="J9" s="946" t="s">
        <v>86</v>
      </c>
    </row>
    <row r="10" spans="2:21" x14ac:dyDescent="0.2">
      <c r="B10" s="960"/>
      <c r="C10" s="948"/>
      <c r="D10" s="948"/>
      <c r="E10" s="948"/>
      <c r="F10" s="948"/>
      <c r="G10" s="948"/>
      <c r="H10" s="948"/>
      <c r="I10" s="954"/>
      <c r="J10" s="948"/>
    </row>
    <row r="11" spans="2:21" x14ac:dyDescent="0.2">
      <c r="B11" s="163">
        <v>1</v>
      </c>
      <c r="C11" s="164">
        <v>2</v>
      </c>
      <c r="D11" s="178">
        <v>3</v>
      </c>
      <c r="E11" s="178">
        <v>4</v>
      </c>
      <c r="F11" s="179">
        <v>5</v>
      </c>
      <c r="G11" s="178">
        <v>6</v>
      </c>
      <c r="H11" s="180">
        <v>7</v>
      </c>
      <c r="I11" s="178">
        <v>8</v>
      </c>
      <c r="J11" s="181">
        <v>9</v>
      </c>
    </row>
    <row r="12" spans="2:21" s="195" customFormat="1" ht="22.5" x14ac:dyDescent="0.2">
      <c r="B12" s="191" t="s">
        <v>134</v>
      </c>
      <c r="C12" s="192">
        <v>6</v>
      </c>
      <c r="D12" s="193">
        <v>107219</v>
      </c>
      <c r="E12" s="192">
        <v>1460</v>
      </c>
      <c r="F12" s="193">
        <v>14894</v>
      </c>
      <c r="G12" s="192">
        <v>5592</v>
      </c>
      <c r="H12" s="193">
        <v>3</v>
      </c>
      <c r="I12" s="192">
        <v>6</v>
      </c>
      <c r="J12" s="194">
        <v>6</v>
      </c>
      <c r="U12" s="131"/>
    </row>
    <row r="13" spans="2:21" x14ac:dyDescent="0.2">
      <c r="B13" s="196" t="s">
        <v>280</v>
      </c>
      <c r="C13" s="354">
        <v>6</v>
      </c>
      <c r="D13" s="355">
        <v>109642</v>
      </c>
      <c r="E13" s="354">
        <v>1794</v>
      </c>
      <c r="F13" s="355">
        <v>18001</v>
      </c>
      <c r="G13" s="354">
        <v>7793</v>
      </c>
      <c r="H13" s="355">
        <v>5</v>
      </c>
      <c r="I13" s="354">
        <v>6</v>
      </c>
      <c r="J13" s="356">
        <v>6</v>
      </c>
      <c r="U13" s="131"/>
    </row>
    <row r="14" spans="2:21" ht="13.5" thickBot="1" x14ac:dyDescent="0.25">
      <c r="B14" s="197" t="s">
        <v>76</v>
      </c>
      <c r="C14" s="198">
        <f>SUM(C12-C13)</f>
        <v>0</v>
      </c>
      <c r="D14" s="198">
        <f t="shared" ref="D14:J14" si="0">SUM(D12-D13)</f>
        <v>-2423</v>
      </c>
      <c r="E14" s="198">
        <f t="shared" si="0"/>
        <v>-334</v>
      </c>
      <c r="F14" s="198">
        <f t="shared" si="0"/>
        <v>-3107</v>
      </c>
      <c r="G14" s="198">
        <f>SUM(G12-G13)</f>
        <v>-2201</v>
      </c>
      <c r="H14" s="198">
        <f t="shared" si="0"/>
        <v>-2</v>
      </c>
      <c r="I14" s="198">
        <f t="shared" si="0"/>
        <v>0</v>
      </c>
      <c r="J14" s="198">
        <f t="shared" si="0"/>
        <v>0</v>
      </c>
      <c r="U14" s="131"/>
    </row>
    <row r="15" spans="2:21" s="195" customFormat="1" x14ac:dyDescent="0.2">
      <c r="B15" s="199" t="s">
        <v>135</v>
      </c>
      <c r="C15" s="200">
        <v>1</v>
      </c>
      <c r="D15" s="201">
        <v>6127</v>
      </c>
      <c r="E15" s="200">
        <v>129</v>
      </c>
      <c r="F15" s="201">
        <v>711</v>
      </c>
      <c r="G15" s="200">
        <v>0</v>
      </c>
      <c r="H15" s="201">
        <v>1</v>
      </c>
      <c r="I15" s="200">
        <v>1</v>
      </c>
      <c r="J15" s="202">
        <v>1</v>
      </c>
    </row>
    <row r="16" spans="2:21" x14ac:dyDescent="0.2">
      <c r="B16" s="166" t="s">
        <v>280</v>
      </c>
      <c r="C16" s="200">
        <v>1</v>
      </c>
      <c r="D16" s="201">
        <v>6123</v>
      </c>
      <c r="E16" s="200">
        <v>134</v>
      </c>
      <c r="F16" s="201">
        <v>746</v>
      </c>
      <c r="G16" s="200">
        <v>0</v>
      </c>
      <c r="H16" s="201">
        <v>1</v>
      </c>
      <c r="I16" s="200">
        <v>1</v>
      </c>
      <c r="J16" s="202">
        <v>1</v>
      </c>
    </row>
    <row r="17" spans="2:10" ht="13.5" thickBot="1" x14ac:dyDescent="0.25">
      <c r="B17" s="205" t="s">
        <v>76</v>
      </c>
      <c r="C17" s="198">
        <f>SUM(C15-C16)</f>
        <v>0</v>
      </c>
      <c r="D17" s="198">
        <f t="shared" ref="D17:J17" si="1">SUM(D15-D16)</f>
        <v>4</v>
      </c>
      <c r="E17" s="198">
        <f t="shared" si="1"/>
        <v>-5</v>
      </c>
      <c r="F17" s="198">
        <f t="shared" si="1"/>
        <v>-35</v>
      </c>
      <c r="G17" s="198">
        <f>SUM(G15-G16)</f>
        <v>0</v>
      </c>
      <c r="H17" s="198">
        <f t="shared" si="1"/>
        <v>0</v>
      </c>
      <c r="I17" s="198">
        <f t="shared" si="1"/>
        <v>0</v>
      </c>
      <c r="J17" s="198">
        <f t="shared" si="1"/>
        <v>0</v>
      </c>
    </row>
    <row r="18" spans="2:10" s="195" customFormat="1" x14ac:dyDescent="0.2">
      <c r="B18" s="206" t="s">
        <v>136</v>
      </c>
      <c r="C18" s="357">
        <v>2</v>
      </c>
      <c r="D18" s="357">
        <v>19086</v>
      </c>
      <c r="E18" s="357">
        <v>438</v>
      </c>
      <c r="F18" s="358">
        <v>395</v>
      </c>
      <c r="G18" s="357">
        <v>0</v>
      </c>
      <c r="H18" s="359">
        <v>1</v>
      </c>
      <c r="I18" s="357">
        <v>2</v>
      </c>
      <c r="J18" s="360">
        <v>2</v>
      </c>
    </row>
    <row r="19" spans="2:10" x14ac:dyDescent="0.2">
      <c r="B19" s="182" t="s">
        <v>280</v>
      </c>
      <c r="C19" s="207">
        <v>2</v>
      </c>
      <c r="D19" s="207">
        <v>52306</v>
      </c>
      <c r="E19" s="207">
        <v>480</v>
      </c>
      <c r="F19" s="208">
        <v>430</v>
      </c>
      <c r="G19" s="207">
        <v>1020</v>
      </c>
      <c r="H19" s="209">
        <v>2</v>
      </c>
      <c r="I19" s="207">
        <v>2</v>
      </c>
      <c r="J19" s="210">
        <v>2</v>
      </c>
    </row>
    <row r="20" spans="2:10" ht="13.5" thickBot="1" x14ac:dyDescent="0.25">
      <c r="B20" s="205" t="s">
        <v>76</v>
      </c>
      <c r="C20" s="198">
        <f>C18-C19</f>
        <v>0</v>
      </c>
      <c r="D20" s="198">
        <f t="shared" ref="D20:J20" si="2">D18-D19</f>
        <v>-33220</v>
      </c>
      <c r="E20" s="198">
        <f t="shared" si="2"/>
        <v>-42</v>
      </c>
      <c r="F20" s="198">
        <f t="shared" si="2"/>
        <v>-35</v>
      </c>
      <c r="G20" s="198">
        <f t="shared" si="2"/>
        <v>-1020</v>
      </c>
      <c r="H20" s="198">
        <f t="shared" si="2"/>
        <v>-1</v>
      </c>
      <c r="I20" s="198">
        <f t="shared" si="2"/>
        <v>0</v>
      </c>
      <c r="J20" s="198">
        <f t="shared" si="2"/>
        <v>0</v>
      </c>
    </row>
    <row r="21" spans="2:10" s="195" customFormat="1" x14ac:dyDescent="0.2">
      <c r="B21" s="216" t="s">
        <v>137</v>
      </c>
      <c r="C21" s="217">
        <v>1</v>
      </c>
      <c r="D21" s="218">
        <v>545197</v>
      </c>
      <c r="E21" s="217">
        <v>832</v>
      </c>
      <c r="F21" s="218">
        <v>10669</v>
      </c>
      <c r="G21" s="217">
        <v>8124</v>
      </c>
      <c r="H21" s="218">
        <v>25</v>
      </c>
      <c r="I21" s="217">
        <v>1</v>
      </c>
      <c r="J21" s="210">
        <v>1</v>
      </c>
    </row>
    <row r="22" spans="2:10" x14ac:dyDescent="0.2">
      <c r="B22" s="206" t="s">
        <v>138</v>
      </c>
      <c r="C22" s="214">
        <v>4</v>
      </c>
      <c r="D22" s="219">
        <v>52656</v>
      </c>
      <c r="E22" s="214">
        <v>1221</v>
      </c>
      <c r="F22" s="219">
        <v>33456</v>
      </c>
      <c r="G22" s="214">
        <v>7456</v>
      </c>
      <c r="H22" s="219">
        <v>6</v>
      </c>
      <c r="I22" s="207">
        <v>5</v>
      </c>
      <c r="J22" s="210">
        <v>5</v>
      </c>
    </row>
    <row r="23" spans="2:10" x14ac:dyDescent="0.2">
      <c r="B23" s="211" t="s">
        <v>139</v>
      </c>
      <c r="C23" s="212">
        <f>SUM(C21,C22)</f>
        <v>5</v>
      </c>
      <c r="D23" s="212">
        <f t="shared" ref="D23:J23" si="3">SUM(D21,D22)</f>
        <v>597853</v>
      </c>
      <c r="E23" s="212">
        <f t="shared" si="3"/>
        <v>2053</v>
      </c>
      <c r="F23" s="212">
        <f t="shared" si="3"/>
        <v>44125</v>
      </c>
      <c r="G23" s="212">
        <f t="shared" si="3"/>
        <v>15580</v>
      </c>
      <c r="H23" s="212">
        <f t="shared" si="3"/>
        <v>31</v>
      </c>
      <c r="I23" s="213">
        <f t="shared" si="3"/>
        <v>6</v>
      </c>
      <c r="J23" s="212">
        <f t="shared" si="3"/>
        <v>6</v>
      </c>
    </row>
    <row r="24" spans="2:10" x14ac:dyDescent="0.2">
      <c r="B24" s="182" t="s">
        <v>280</v>
      </c>
      <c r="C24" s="203">
        <v>6</v>
      </c>
      <c r="D24" s="204">
        <v>612999</v>
      </c>
      <c r="E24" s="203">
        <v>2621</v>
      </c>
      <c r="F24" s="204">
        <v>48967</v>
      </c>
      <c r="G24" s="203">
        <v>13601</v>
      </c>
      <c r="H24" s="204">
        <v>31</v>
      </c>
      <c r="I24" s="203">
        <v>6</v>
      </c>
      <c r="J24" s="220">
        <v>6</v>
      </c>
    </row>
    <row r="25" spans="2:10" ht="13.5" thickBot="1" x14ac:dyDescent="0.25">
      <c r="B25" s="205" t="s">
        <v>76</v>
      </c>
      <c r="C25" s="198">
        <f t="shared" ref="C25:H25" si="4">C23-C24</f>
        <v>-1</v>
      </c>
      <c r="D25" s="198">
        <f>SUM(D23-D24)</f>
        <v>-15146</v>
      </c>
      <c r="E25" s="198">
        <f t="shared" si="4"/>
        <v>-568</v>
      </c>
      <c r="F25" s="198">
        <f t="shared" si="4"/>
        <v>-4842</v>
      </c>
      <c r="G25" s="198">
        <f t="shared" si="4"/>
        <v>1979</v>
      </c>
      <c r="H25" s="198">
        <f t="shared" si="4"/>
        <v>0</v>
      </c>
      <c r="I25" s="215">
        <f>I23-I24</f>
        <v>0</v>
      </c>
      <c r="J25" s="198">
        <f>J23-J24</f>
        <v>0</v>
      </c>
    </row>
    <row r="26" spans="2:10" x14ac:dyDescent="0.2">
      <c r="B26" s="186" t="s">
        <v>140</v>
      </c>
      <c r="C26" s="221">
        <v>1</v>
      </c>
      <c r="D26" s="222">
        <v>296350</v>
      </c>
      <c r="E26" s="221">
        <v>223</v>
      </c>
      <c r="F26" s="222">
        <v>452</v>
      </c>
      <c r="G26" s="221">
        <v>299</v>
      </c>
      <c r="H26" s="222">
        <v>2</v>
      </c>
      <c r="I26" s="221">
        <v>1</v>
      </c>
      <c r="J26" s="223">
        <v>1</v>
      </c>
    </row>
    <row r="27" spans="2:10" x14ac:dyDescent="0.2">
      <c r="B27" s="182" t="s">
        <v>280</v>
      </c>
      <c r="C27" s="200">
        <v>1</v>
      </c>
      <c r="D27" s="201">
        <v>295872</v>
      </c>
      <c r="E27" s="200">
        <v>214</v>
      </c>
      <c r="F27" s="201">
        <v>457</v>
      </c>
      <c r="G27" s="200">
        <v>299</v>
      </c>
      <c r="H27" s="201">
        <v>2</v>
      </c>
      <c r="I27" s="200">
        <v>1</v>
      </c>
      <c r="J27" s="202">
        <v>1</v>
      </c>
    </row>
    <row r="28" spans="2:10" ht="13.5" thickBot="1" x14ac:dyDescent="0.25">
      <c r="B28" s="205" t="s">
        <v>76</v>
      </c>
      <c r="C28" s="198">
        <f>C26-C27</f>
        <v>0</v>
      </c>
      <c r="D28" s="198">
        <f t="shared" ref="D28:J28" si="5">D26-D27</f>
        <v>478</v>
      </c>
      <c r="E28" s="198">
        <f t="shared" si="5"/>
        <v>9</v>
      </c>
      <c r="F28" s="198">
        <f t="shared" si="5"/>
        <v>-5</v>
      </c>
      <c r="G28" s="198">
        <f t="shared" si="5"/>
        <v>0</v>
      </c>
      <c r="H28" s="198">
        <f t="shared" si="5"/>
        <v>0</v>
      </c>
      <c r="I28" s="215">
        <f t="shared" si="5"/>
        <v>0</v>
      </c>
      <c r="J28" s="198">
        <f t="shared" si="5"/>
        <v>0</v>
      </c>
    </row>
    <row r="29" spans="2:10" x14ac:dyDescent="0.2">
      <c r="B29" s="224" t="s">
        <v>286</v>
      </c>
      <c r="C29" s="225">
        <f>SUM(C12,C15,C18,C23,C26)</f>
        <v>15</v>
      </c>
      <c r="D29" s="225">
        <f t="shared" ref="D29:J29" si="6">SUM(D12,D15,D18,D23,D26)</f>
        <v>1026635</v>
      </c>
      <c r="E29" s="225">
        <f t="shared" si="6"/>
        <v>4303</v>
      </c>
      <c r="F29" s="225">
        <f t="shared" si="6"/>
        <v>60577</v>
      </c>
      <c r="G29" s="225">
        <f t="shared" si="6"/>
        <v>21471</v>
      </c>
      <c r="H29" s="225">
        <f t="shared" si="6"/>
        <v>38</v>
      </c>
      <c r="I29" s="225">
        <f t="shared" si="6"/>
        <v>16</v>
      </c>
      <c r="J29" s="225">
        <f t="shared" si="6"/>
        <v>16</v>
      </c>
    </row>
    <row r="30" spans="2:10" x14ac:dyDescent="0.2">
      <c r="B30" s="172" t="s">
        <v>280</v>
      </c>
      <c r="C30" s="226">
        <v>16</v>
      </c>
      <c r="D30" s="226">
        <v>1076942</v>
      </c>
      <c r="E30" s="226">
        <v>5243</v>
      </c>
      <c r="F30" s="226">
        <v>68601</v>
      </c>
      <c r="G30" s="226">
        <v>22713</v>
      </c>
      <c r="H30" s="226">
        <v>41</v>
      </c>
      <c r="I30" s="226">
        <v>16</v>
      </c>
      <c r="J30" s="227">
        <v>16</v>
      </c>
    </row>
    <row r="31" spans="2:10" x14ac:dyDescent="0.2">
      <c r="B31" s="228" t="s">
        <v>76</v>
      </c>
      <c r="C31" s="226">
        <f t="shared" ref="C31:J31" si="7">C29-C30</f>
        <v>-1</v>
      </c>
      <c r="D31" s="226">
        <f t="shared" si="7"/>
        <v>-50307</v>
      </c>
      <c r="E31" s="226">
        <f t="shared" si="7"/>
        <v>-940</v>
      </c>
      <c r="F31" s="226">
        <f t="shared" si="7"/>
        <v>-8024</v>
      </c>
      <c r="G31" s="226">
        <f t="shared" si="7"/>
        <v>-1242</v>
      </c>
      <c r="H31" s="229">
        <f t="shared" si="7"/>
        <v>-3</v>
      </c>
      <c r="I31" s="226">
        <f t="shared" si="7"/>
        <v>0</v>
      </c>
      <c r="J31" s="226">
        <f t="shared" si="7"/>
        <v>0</v>
      </c>
    </row>
  </sheetData>
  <mergeCells count="13">
    <mergeCell ref="I7:J8"/>
    <mergeCell ref="I9:I10"/>
    <mergeCell ref="J9:J10"/>
    <mergeCell ref="B2:J2"/>
    <mergeCell ref="I4:J4"/>
    <mergeCell ref="B5:J5"/>
    <mergeCell ref="B7:B10"/>
    <mergeCell ref="C7:C10"/>
    <mergeCell ref="D7:D10"/>
    <mergeCell ref="E7:E10"/>
    <mergeCell ref="F7:F10"/>
    <mergeCell ref="G7:G10"/>
    <mergeCell ref="H7:H10"/>
  </mergeCells>
  <pageMargins left="0.75" right="0.75" top="1" bottom="1" header="0.5" footer="0.5"/>
  <pageSetup paperSize="9" scale="78" orientation="portrait" r:id="rId1"/>
  <headerFooter alignWithMargins="0"/>
  <ignoredErrors>
    <ignoredError sqref="D2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7"/>
  <sheetViews>
    <sheetView zoomScaleNormal="100" workbookViewId="0">
      <selection activeCell="H34" sqref="H34"/>
    </sheetView>
  </sheetViews>
  <sheetFormatPr defaultColWidth="9.140625" defaultRowHeight="12.75" x14ac:dyDescent="0.2"/>
  <cols>
    <col min="1" max="1" width="9.140625" style="230"/>
    <col min="2" max="2" width="22.140625" style="230" customWidth="1"/>
    <col min="3" max="3" width="7.7109375" style="230" customWidth="1"/>
    <col min="4" max="4" width="9" style="230" customWidth="1"/>
    <col min="5" max="5" width="7.7109375" style="230" customWidth="1"/>
    <col min="6" max="6" width="8.5703125" style="230" customWidth="1"/>
    <col min="7" max="7" width="10.42578125" style="230" customWidth="1"/>
    <col min="8" max="8" width="11.42578125" style="230" customWidth="1"/>
    <col min="9" max="9" width="9.5703125" style="230" customWidth="1"/>
    <col min="10" max="10" width="7.5703125" style="230" customWidth="1"/>
    <col min="11" max="16384" width="9.140625" style="230"/>
  </cols>
  <sheetData>
    <row r="2" spans="2:21" ht="15" x14ac:dyDescent="0.2">
      <c r="B2" s="961" t="s">
        <v>141</v>
      </c>
      <c r="C2" s="961"/>
      <c r="D2" s="961"/>
      <c r="E2" s="961"/>
      <c r="F2" s="961"/>
      <c r="G2" s="961"/>
      <c r="H2" s="961"/>
      <c r="I2" s="961"/>
      <c r="J2" s="961"/>
    </row>
    <row r="3" spans="2:21" ht="15" x14ac:dyDescent="0.2">
      <c r="B3" s="962" t="s">
        <v>142</v>
      </c>
      <c r="C3" s="962"/>
      <c r="D3" s="962"/>
      <c r="E3" s="962"/>
      <c r="F3" s="962"/>
      <c r="G3" s="962"/>
      <c r="H3" s="962"/>
      <c r="I3" s="962"/>
      <c r="J3" s="962"/>
    </row>
    <row r="4" spans="2:21" ht="15" x14ac:dyDescent="0.2">
      <c r="B4" s="231"/>
      <c r="C4" s="231"/>
      <c r="D4" s="231"/>
      <c r="E4" s="231"/>
      <c r="F4" s="231"/>
      <c r="G4" s="231"/>
      <c r="H4" s="231"/>
      <c r="I4" s="231"/>
      <c r="J4" s="231"/>
    </row>
    <row r="5" spans="2:21" ht="15.75" x14ac:dyDescent="0.25">
      <c r="B5" s="232"/>
      <c r="C5" s="233"/>
      <c r="D5" s="233"/>
      <c r="E5" s="233"/>
      <c r="F5" s="233"/>
      <c r="G5" s="233"/>
      <c r="I5" s="962" t="s">
        <v>285</v>
      </c>
      <c r="J5" s="962"/>
    </row>
    <row r="6" spans="2:21" ht="16.5" thickBot="1" x14ac:dyDescent="0.3">
      <c r="B6" s="234"/>
    </row>
    <row r="7" spans="2:21" x14ac:dyDescent="0.2">
      <c r="B7" s="974"/>
      <c r="C7" s="977" t="s">
        <v>66</v>
      </c>
      <c r="D7" s="978" t="s">
        <v>2</v>
      </c>
      <c r="E7" s="979"/>
      <c r="F7" s="979"/>
      <c r="G7" s="979"/>
      <c r="H7" s="979"/>
      <c r="I7" s="979"/>
      <c r="J7" s="980"/>
    </row>
    <row r="8" spans="2:21" x14ac:dyDescent="0.2">
      <c r="B8" s="975"/>
      <c r="C8" s="969"/>
      <c r="D8" s="968" t="s">
        <v>143</v>
      </c>
      <c r="E8" s="968" t="s">
        <v>68</v>
      </c>
      <c r="F8" s="968" t="s">
        <v>69</v>
      </c>
      <c r="G8" s="968" t="s">
        <v>70</v>
      </c>
      <c r="H8" s="968" t="s">
        <v>222</v>
      </c>
      <c r="I8" s="968" t="s">
        <v>144</v>
      </c>
      <c r="J8" s="971" t="s">
        <v>269</v>
      </c>
    </row>
    <row r="9" spans="2:21" x14ac:dyDescent="0.2">
      <c r="B9" s="975"/>
      <c r="C9" s="969"/>
      <c r="D9" s="969"/>
      <c r="E9" s="969"/>
      <c r="F9" s="969"/>
      <c r="G9" s="969"/>
      <c r="H9" s="969"/>
      <c r="I9" s="969"/>
      <c r="J9" s="972"/>
    </row>
    <row r="10" spans="2:21" ht="16.5" customHeight="1" x14ac:dyDescent="0.2">
      <c r="B10" s="976"/>
      <c r="C10" s="970"/>
      <c r="D10" s="970"/>
      <c r="E10" s="970"/>
      <c r="F10" s="970"/>
      <c r="G10" s="970"/>
      <c r="H10" s="970"/>
      <c r="I10" s="970"/>
      <c r="J10" s="973"/>
    </row>
    <row r="11" spans="2:21" ht="13.5" thickBot="1" x14ac:dyDescent="0.25">
      <c r="B11" s="235">
        <v>1</v>
      </c>
      <c r="C11" s="236">
        <v>2</v>
      </c>
      <c r="D11" s="236">
        <v>3</v>
      </c>
      <c r="E11" s="237">
        <v>4</v>
      </c>
      <c r="F11" s="237">
        <v>5</v>
      </c>
      <c r="G11" s="237">
        <v>6</v>
      </c>
      <c r="H11" s="236">
        <v>7</v>
      </c>
      <c r="I11" s="236">
        <v>8</v>
      </c>
      <c r="J11" s="238">
        <v>9</v>
      </c>
    </row>
    <row r="12" spans="2:21" ht="15.95" customHeight="1" x14ac:dyDescent="0.2">
      <c r="B12" s="239" t="s">
        <v>265</v>
      </c>
      <c r="C12" s="240">
        <v>11</v>
      </c>
      <c r="D12" s="371">
        <v>9108777</v>
      </c>
      <c r="E12" s="371">
        <v>111873</v>
      </c>
      <c r="F12" s="371">
        <v>666072</v>
      </c>
      <c r="G12" s="371">
        <v>1448648</v>
      </c>
      <c r="H12" s="371">
        <v>342</v>
      </c>
      <c r="I12" s="240">
        <v>1594</v>
      </c>
      <c r="J12" s="241">
        <v>1584</v>
      </c>
      <c r="U12" s="131"/>
    </row>
    <row r="13" spans="2:21" ht="15.95" customHeight="1" x14ac:dyDescent="0.2">
      <c r="B13" s="242" t="s">
        <v>229</v>
      </c>
      <c r="C13" s="371">
        <v>12</v>
      </c>
      <c r="D13" s="371">
        <v>795128</v>
      </c>
      <c r="E13" s="371">
        <v>26395</v>
      </c>
      <c r="F13" s="371">
        <v>224691</v>
      </c>
      <c r="G13" s="371">
        <v>266661</v>
      </c>
      <c r="H13" s="390">
        <v>59</v>
      </c>
      <c r="I13" s="243">
        <v>543</v>
      </c>
      <c r="J13" s="244">
        <v>526</v>
      </c>
      <c r="U13" s="131"/>
    </row>
    <row r="14" spans="2:21" ht="15.95" customHeight="1" x14ac:dyDescent="0.2">
      <c r="B14" s="245" t="s">
        <v>22</v>
      </c>
      <c r="C14" s="246">
        <f>SUM(C12,C13)</f>
        <v>23</v>
      </c>
      <c r="D14" s="246">
        <f>SUM(D12,D13)</f>
        <v>9903905</v>
      </c>
      <c r="E14" s="246">
        <f>SUM(E13,E12)</f>
        <v>138268</v>
      </c>
      <c r="F14" s="246">
        <f>SUM(F13,F12)</f>
        <v>890763</v>
      </c>
      <c r="G14" s="246">
        <f>SUM(G13,G12)</f>
        <v>1715309</v>
      </c>
      <c r="H14" s="246">
        <f>SUM(H13,H12)</f>
        <v>401</v>
      </c>
      <c r="I14" s="246">
        <f>SUM(I12,I13)</f>
        <v>2137</v>
      </c>
      <c r="J14" s="247">
        <f>SUM(J12,J13)</f>
        <v>2110</v>
      </c>
      <c r="U14" s="131"/>
    </row>
    <row r="15" spans="2:21" ht="15.95" customHeight="1" x14ac:dyDescent="0.2">
      <c r="B15" s="242" t="s">
        <v>280</v>
      </c>
      <c r="C15" s="243">
        <v>23</v>
      </c>
      <c r="D15" s="243">
        <v>10050626</v>
      </c>
      <c r="E15" s="243">
        <v>139520</v>
      </c>
      <c r="F15" s="243">
        <v>936708</v>
      </c>
      <c r="G15" s="243">
        <v>841800</v>
      </c>
      <c r="H15" s="243">
        <v>419</v>
      </c>
      <c r="I15" s="243">
        <v>2028</v>
      </c>
      <c r="J15" s="244">
        <v>1494</v>
      </c>
    </row>
    <row r="16" spans="2:21" ht="15.95" customHeight="1" thickBot="1" x14ac:dyDescent="0.25">
      <c r="B16" s="248" t="s">
        <v>76</v>
      </c>
      <c r="C16" s="249">
        <v>0</v>
      </c>
      <c r="D16" s="250">
        <f t="shared" ref="D16:J16" si="0">D14-D15</f>
        <v>-146721</v>
      </c>
      <c r="E16" s="250">
        <f t="shared" si="0"/>
        <v>-1252</v>
      </c>
      <c r="F16" s="250">
        <f t="shared" si="0"/>
        <v>-45945</v>
      </c>
      <c r="G16" s="250">
        <f t="shared" si="0"/>
        <v>873509</v>
      </c>
      <c r="H16" s="250">
        <f t="shared" si="0"/>
        <v>-18</v>
      </c>
      <c r="I16" s="250">
        <f t="shared" si="0"/>
        <v>109</v>
      </c>
      <c r="J16" s="251">
        <f t="shared" si="0"/>
        <v>616</v>
      </c>
    </row>
    <row r="17" spans="2:10" ht="15.95" customHeight="1" x14ac:dyDescent="0.2">
      <c r="B17" s="239" t="s">
        <v>266</v>
      </c>
      <c r="C17" s="240">
        <v>5</v>
      </c>
      <c r="D17" s="371">
        <v>171871</v>
      </c>
      <c r="E17" s="371">
        <v>3855</v>
      </c>
      <c r="F17" s="371">
        <v>32558</v>
      </c>
      <c r="G17" s="371">
        <v>31775</v>
      </c>
      <c r="H17" s="371">
        <v>8</v>
      </c>
      <c r="I17" s="240">
        <v>65</v>
      </c>
      <c r="J17" s="241">
        <v>65</v>
      </c>
    </row>
    <row r="18" spans="2:10" ht="15.95" customHeight="1" x14ac:dyDescent="0.2">
      <c r="B18" s="242" t="s">
        <v>267</v>
      </c>
      <c r="C18" s="243">
        <v>6</v>
      </c>
      <c r="D18" s="371">
        <v>64571</v>
      </c>
      <c r="E18" s="371">
        <v>3982</v>
      </c>
      <c r="F18" s="371">
        <v>4796</v>
      </c>
      <c r="G18" s="371">
        <v>10843</v>
      </c>
      <c r="H18" s="371">
        <v>9</v>
      </c>
      <c r="I18" s="243">
        <v>71</v>
      </c>
      <c r="J18" s="244">
        <v>71</v>
      </c>
    </row>
    <row r="19" spans="2:10" ht="15.95" customHeight="1" x14ac:dyDescent="0.2">
      <c r="B19" s="245" t="s">
        <v>22</v>
      </c>
      <c r="C19" s="252">
        <f t="shared" ref="C19:J19" si="1">SUM(C17,C18)</f>
        <v>11</v>
      </c>
      <c r="D19" s="252">
        <f t="shared" si="1"/>
        <v>236442</v>
      </c>
      <c r="E19" s="252">
        <f t="shared" si="1"/>
        <v>7837</v>
      </c>
      <c r="F19" s="252">
        <f t="shared" si="1"/>
        <v>37354</v>
      </c>
      <c r="G19" s="252">
        <f t="shared" si="1"/>
        <v>42618</v>
      </c>
      <c r="H19" s="252">
        <f t="shared" si="1"/>
        <v>17</v>
      </c>
      <c r="I19" s="252">
        <f t="shared" si="1"/>
        <v>136</v>
      </c>
      <c r="J19" s="253">
        <f t="shared" si="1"/>
        <v>136</v>
      </c>
    </row>
    <row r="20" spans="2:10" ht="15.95" customHeight="1" x14ac:dyDescent="0.2">
      <c r="B20" s="242" t="s">
        <v>280</v>
      </c>
      <c r="C20" s="243">
        <v>12</v>
      </c>
      <c r="D20" s="243">
        <v>259300</v>
      </c>
      <c r="E20" s="243">
        <v>10381</v>
      </c>
      <c r="F20" s="243">
        <v>34187</v>
      </c>
      <c r="G20" s="243">
        <v>33208</v>
      </c>
      <c r="H20" s="243">
        <v>22</v>
      </c>
      <c r="I20" s="243">
        <v>177</v>
      </c>
      <c r="J20" s="244">
        <v>130</v>
      </c>
    </row>
    <row r="21" spans="2:10" ht="15.95" customHeight="1" thickBot="1" x14ac:dyDescent="0.25">
      <c r="B21" s="248" t="s">
        <v>76</v>
      </c>
      <c r="C21" s="254">
        <f t="shared" ref="C21:H21" si="2">C19-C20</f>
        <v>-1</v>
      </c>
      <c r="D21" s="254">
        <f t="shared" si="2"/>
        <v>-22858</v>
      </c>
      <c r="E21" s="254">
        <f t="shared" si="2"/>
        <v>-2544</v>
      </c>
      <c r="F21" s="254">
        <f t="shared" si="2"/>
        <v>3167</v>
      </c>
      <c r="G21" s="254">
        <f t="shared" si="2"/>
        <v>9410</v>
      </c>
      <c r="H21" s="254">
        <f t="shared" si="2"/>
        <v>-5</v>
      </c>
      <c r="I21" s="254">
        <f>I19-I20</f>
        <v>-41</v>
      </c>
      <c r="J21" s="255">
        <f>J19-J20</f>
        <v>6</v>
      </c>
    </row>
    <row r="22" spans="2:10" ht="15.95" customHeight="1" x14ac:dyDescent="0.2">
      <c r="B22" s="239" t="s">
        <v>263</v>
      </c>
      <c r="C22" s="240">
        <f t="shared" ref="C22:H23" si="3">SUM(C12,C17)</f>
        <v>16</v>
      </c>
      <c r="D22" s="240">
        <f t="shared" si="3"/>
        <v>9280648</v>
      </c>
      <c r="E22" s="240">
        <f t="shared" si="3"/>
        <v>115728</v>
      </c>
      <c r="F22" s="240">
        <f t="shared" si="3"/>
        <v>698630</v>
      </c>
      <c r="G22" s="240">
        <f t="shared" si="3"/>
        <v>1480423</v>
      </c>
      <c r="H22" s="240">
        <f t="shared" si="3"/>
        <v>350</v>
      </c>
      <c r="I22" s="240">
        <f>SUM(I12,I17)</f>
        <v>1659</v>
      </c>
      <c r="J22" s="241">
        <f>SUM(J12,J17)</f>
        <v>1649</v>
      </c>
    </row>
    <row r="23" spans="2:10" ht="15.95" customHeight="1" x14ac:dyDescent="0.2">
      <c r="B23" s="242" t="s">
        <v>264</v>
      </c>
      <c r="C23" s="243">
        <f t="shared" si="3"/>
        <v>18</v>
      </c>
      <c r="D23" s="243">
        <f t="shared" si="3"/>
        <v>859699</v>
      </c>
      <c r="E23" s="243">
        <f t="shared" si="3"/>
        <v>30377</v>
      </c>
      <c r="F23" s="243">
        <f t="shared" si="3"/>
        <v>229487</v>
      </c>
      <c r="G23" s="243">
        <f t="shared" si="3"/>
        <v>277504</v>
      </c>
      <c r="H23" s="243">
        <f t="shared" si="3"/>
        <v>68</v>
      </c>
      <c r="I23" s="243">
        <f>SUM(I13,I18)</f>
        <v>614</v>
      </c>
      <c r="J23" s="244">
        <f>SUM(J18,J13)</f>
        <v>597</v>
      </c>
    </row>
    <row r="24" spans="2:10" ht="15.95" customHeight="1" x14ac:dyDescent="0.2">
      <c r="B24" s="245" t="s">
        <v>22</v>
      </c>
      <c r="C24" s="252">
        <f t="shared" ref="C24:H24" si="4">SUM(C22,C23)</f>
        <v>34</v>
      </c>
      <c r="D24" s="252">
        <f t="shared" si="4"/>
        <v>10140347</v>
      </c>
      <c r="E24" s="252">
        <f t="shared" si="4"/>
        <v>146105</v>
      </c>
      <c r="F24" s="252">
        <f t="shared" si="4"/>
        <v>928117</v>
      </c>
      <c r="G24" s="252">
        <f t="shared" si="4"/>
        <v>1757927</v>
      </c>
      <c r="H24" s="252">
        <f t="shared" si="4"/>
        <v>418</v>
      </c>
      <c r="I24" s="252">
        <f>SUM(I22,I23)</f>
        <v>2273</v>
      </c>
      <c r="J24" s="253">
        <f>SUM(J22,J23)</f>
        <v>2246</v>
      </c>
    </row>
    <row r="25" spans="2:10" ht="15.95" customHeight="1" x14ac:dyDescent="0.2">
      <c r="B25" s="242" t="s">
        <v>280</v>
      </c>
      <c r="C25" s="243">
        <v>35</v>
      </c>
      <c r="D25" s="243">
        <v>10309926</v>
      </c>
      <c r="E25" s="243">
        <v>149901</v>
      </c>
      <c r="F25" s="243">
        <v>970895</v>
      </c>
      <c r="G25" s="243">
        <v>875008</v>
      </c>
      <c r="H25" s="243">
        <v>441</v>
      </c>
      <c r="I25" s="243">
        <v>2205</v>
      </c>
      <c r="J25" s="244">
        <v>1624</v>
      </c>
    </row>
    <row r="26" spans="2:10" ht="15.95" customHeight="1" thickBot="1" x14ac:dyDescent="0.25">
      <c r="B26" s="248" t="s">
        <v>76</v>
      </c>
      <c r="C26" s="254">
        <f t="shared" ref="C26:H26" si="5">C24-C25</f>
        <v>-1</v>
      </c>
      <c r="D26" s="254">
        <f t="shared" si="5"/>
        <v>-169579</v>
      </c>
      <c r="E26" s="254">
        <f t="shared" si="5"/>
        <v>-3796</v>
      </c>
      <c r="F26" s="254">
        <f t="shared" si="5"/>
        <v>-42778</v>
      </c>
      <c r="G26" s="254">
        <f t="shared" si="5"/>
        <v>882919</v>
      </c>
      <c r="H26" s="254">
        <f t="shared" si="5"/>
        <v>-23</v>
      </c>
      <c r="I26" s="254">
        <f>I24-I25</f>
        <v>68</v>
      </c>
      <c r="J26" s="255">
        <f>J24-J25</f>
        <v>622</v>
      </c>
    </row>
    <row r="27" spans="2:10" x14ac:dyDescent="0.2">
      <c r="B27" s="256"/>
    </row>
  </sheetData>
  <mergeCells count="13">
    <mergeCell ref="H8:H10"/>
    <mergeCell ref="I8:I10"/>
    <mergeCell ref="J8:J10"/>
    <mergeCell ref="B2:J2"/>
    <mergeCell ref="B3:J3"/>
    <mergeCell ref="I5:J5"/>
    <mergeCell ref="B7:B10"/>
    <mergeCell ref="C7:C10"/>
    <mergeCell ref="D7:J7"/>
    <mergeCell ref="D8:D10"/>
    <mergeCell ref="E8:E10"/>
    <mergeCell ref="F8:F10"/>
    <mergeCell ref="G8:G10"/>
  </mergeCells>
  <pageMargins left="0.93" right="0.75" top="1" bottom="1" header="0.5" footer="0.5"/>
  <pageSetup paperSize="9" scale="81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50"/>
  <sheetViews>
    <sheetView topLeftCell="A25" zoomScaleNormal="100" workbookViewId="0">
      <selection activeCell="C44" sqref="C44:J44"/>
    </sheetView>
  </sheetViews>
  <sheetFormatPr defaultColWidth="9.140625" defaultRowHeight="12.75" x14ac:dyDescent="0.2"/>
  <cols>
    <col min="1" max="1" width="8" style="162" customWidth="1"/>
    <col min="2" max="2" width="31.28515625" style="162" customWidth="1"/>
    <col min="3" max="3" width="7.5703125" style="162" customWidth="1"/>
    <col min="4" max="4" width="9.140625" style="162" customWidth="1"/>
    <col min="5" max="5" width="7.140625" style="162" customWidth="1"/>
    <col min="6" max="6" width="8.42578125" style="162" customWidth="1"/>
    <col min="7" max="7" width="10.42578125" style="162" customWidth="1"/>
    <col min="8" max="8" width="10.85546875" style="162" customWidth="1"/>
    <col min="9" max="9" width="9.42578125" style="162" customWidth="1"/>
    <col min="10" max="10" width="9" style="162" customWidth="1"/>
    <col min="11" max="16384" width="9.140625" style="162"/>
  </cols>
  <sheetData>
    <row r="2" spans="2:21" ht="17.25" customHeight="1" x14ac:dyDescent="0.2">
      <c r="B2" s="981" t="s">
        <v>268</v>
      </c>
      <c r="C2" s="981"/>
      <c r="D2" s="981"/>
      <c r="E2" s="981"/>
      <c r="F2" s="981"/>
      <c r="G2" s="981"/>
      <c r="H2" s="981"/>
      <c r="I2" s="981"/>
      <c r="J2" s="981"/>
    </row>
    <row r="3" spans="2:21" ht="17.25" customHeight="1" x14ac:dyDescent="0.2">
      <c r="B3" s="981"/>
      <c r="C3" s="981"/>
      <c r="D3" s="981"/>
      <c r="E3" s="981"/>
      <c r="F3" s="981"/>
      <c r="G3" s="981"/>
      <c r="H3" s="981"/>
      <c r="I3" s="981"/>
      <c r="J3" s="981"/>
    </row>
    <row r="5" spans="2:21" ht="15" x14ac:dyDescent="0.2">
      <c r="I5" s="982" t="s">
        <v>285</v>
      </c>
      <c r="J5" s="982"/>
    </row>
    <row r="7" spans="2:21" x14ac:dyDescent="0.2">
      <c r="B7" s="983" t="s">
        <v>251</v>
      </c>
      <c r="C7" s="968" t="s">
        <v>66</v>
      </c>
      <c r="D7" s="986" t="s">
        <v>2</v>
      </c>
      <c r="E7" s="987"/>
      <c r="F7" s="987"/>
      <c r="G7" s="987"/>
      <c r="H7" s="987"/>
      <c r="I7" s="987"/>
      <c r="J7" s="988"/>
    </row>
    <row r="8" spans="2:21" x14ac:dyDescent="0.2">
      <c r="B8" s="984"/>
      <c r="C8" s="969"/>
      <c r="D8" s="968" t="s">
        <v>143</v>
      </c>
      <c r="E8" s="968" t="s">
        <v>68</v>
      </c>
      <c r="F8" s="968" t="s">
        <v>69</v>
      </c>
      <c r="G8" s="968" t="s">
        <v>70</v>
      </c>
      <c r="H8" s="968" t="s">
        <v>222</v>
      </c>
      <c r="I8" s="968" t="s">
        <v>144</v>
      </c>
      <c r="J8" s="968" t="s">
        <v>269</v>
      </c>
    </row>
    <row r="9" spans="2:21" x14ac:dyDescent="0.2">
      <c r="B9" s="984"/>
      <c r="C9" s="969"/>
      <c r="D9" s="969"/>
      <c r="E9" s="969"/>
      <c r="F9" s="969"/>
      <c r="G9" s="969"/>
      <c r="H9" s="969"/>
      <c r="I9" s="969"/>
      <c r="J9" s="969"/>
    </row>
    <row r="10" spans="2:21" ht="19.5" customHeight="1" x14ac:dyDescent="0.2">
      <c r="B10" s="985"/>
      <c r="C10" s="970"/>
      <c r="D10" s="970"/>
      <c r="E10" s="970"/>
      <c r="F10" s="970"/>
      <c r="G10" s="970"/>
      <c r="H10" s="970"/>
      <c r="I10" s="970"/>
      <c r="J10" s="970"/>
    </row>
    <row r="11" spans="2:21" ht="15.95" customHeight="1" x14ac:dyDescent="0.2">
      <c r="B11" s="261">
        <v>1</v>
      </c>
      <c r="C11" s="262">
        <v>2</v>
      </c>
      <c r="D11" s="262">
        <v>3</v>
      </c>
      <c r="E11" s="293">
        <v>4</v>
      </c>
      <c r="F11" s="293">
        <v>5</v>
      </c>
      <c r="G11" s="293">
        <v>6</v>
      </c>
      <c r="H11" s="262">
        <v>7</v>
      </c>
      <c r="I11" s="262">
        <v>8</v>
      </c>
      <c r="J11" s="265">
        <v>9</v>
      </c>
    </row>
    <row r="12" spans="2:21" ht="15" customHeight="1" x14ac:dyDescent="0.2">
      <c r="B12" s="667" t="s">
        <v>253</v>
      </c>
      <c r="C12" s="168">
        <v>1</v>
      </c>
      <c r="D12" s="268">
        <v>868644</v>
      </c>
      <c r="E12" s="168">
        <v>12013</v>
      </c>
      <c r="F12" s="269">
        <v>84943</v>
      </c>
      <c r="G12" s="269">
        <v>166739</v>
      </c>
      <c r="H12" s="270">
        <v>42</v>
      </c>
      <c r="I12" s="270">
        <v>197</v>
      </c>
      <c r="J12" s="271">
        <v>197</v>
      </c>
      <c r="U12" s="577"/>
    </row>
    <row r="13" spans="2:21" ht="14.25" customHeight="1" x14ac:dyDescent="0.2">
      <c r="B13" s="386" t="s">
        <v>254</v>
      </c>
      <c r="C13" s="274">
        <v>1</v>
      </c>
      <c r="D13" s="268">
        <v>86884</v>
      </c>
      <c r="E13" s="275">
        <v>2454</v>
      </c>
      <c r="F13" s="276">
        <v>3995</v>
      </c>
      <c r="G13" s="276">
        <v>9853</v>
      </c>
      <c r="H13" s="275">
        <v>9</v>
      </c>
      <c r="I13" s="275">
        <v>59</v>
      </c>
      <c r="J13" s="277">
        <v>59</v>
      </c>
      <c r="U13" s="577"/>
    </row>
    <row r="14" spans="2:21" ht="13.5" customHeight="1" x14ac:dyDescent="0.2">
      <c r="B14" s="386" t="s">
        <v>255</v>
      </c>
      <c r="C14" s="274">
        <v>1</v>
      </c>
      <c r="D14" s="268">
        <v>626154</v>
      </c>
      <c r="E14" s="275">
        <v>18083</v>
      </c>
      <c r="F14" s="276">
        <v>182041</v>
      </c>
      <c r="G14" s="276">
        <v>292119</v>
      </c>
      <c r="H14" s="275">
        <v>30</v>
      </c>
      <c r="I14" s="275">
        <v>188</v>
      </c>
      <c r="J14" s="277">
        <v>182</v>
      </c>
      <c r="U14" s="577"/>
    </row>
    <row r="15" spans="2:21" ht="13.5" customHeight="1" x14ac:dyDescent="0.2">
      <c r="B15" s="386" t="s">
        <v>256</v>
      </c>
      <c r="C15" s="274">
        <v>1</v>
      </c>
      <c r="D15" s="268">
        <v>1025821</v>
      </c>
      <c r="E15" s="275">
        <v>12029</v>
      </c>
      <c r="F15" s="276">
        <v>44933</v>
      </c>
      <c r="G15" s="276">
        <v>105424</v>
      </c>
      <c r="H15" s="275">
        <v>45</v>
      </c>
      <c r="I15" s="275">
        <v>262</v>
      </c>
      <c r="J15" s="277">
        <v>262</v>
      </c>
    </row>
    <row r="16" spans="2:21" ht="14.25" customHeight="1" x14ac:dyDescent="0.2">
      <c r="B16" s="386" t="s">
        <v>257</v>
      </c>
      <c r="C16" s="274">
        <v>1</v>
      </c>
      <c r="D16" s="268">
        <v>307602</v>
      </c>
      <c r="E16" s="274">
        <v>1830</v>
      </c>
      <c r="F16" s="278">
        <v>29611</v>
      </c>
      <c r="G16" s="279">
        <v>12868</v>
      </c>
      <c r="H16" s="282">
        <v>17</v>
      </c>
      <c r="I16" s="280">
        <v>43</v>
      </c>
      <c r="J16" s="281">
        <v>43</v>
      </c>
    </row>
    <row r="17" spans="2:10" ht="25.5" customHeight="1" x14ac:dyDescent="0.2">
      <c r="B17" s="668" t="s">
        <v>272</v>
      </c>
      <c r="C17" s="274">
        <v>1</v>
      </c>
      <c r="D17" s="268">
        <v>315090</v>
      </c>
      <c r="E17" s="274">
        <v>1568</v>
      </c>
      <c r="F17" s="278">
        <v>13573</v>
      </c>
      <c r="G17" s="279">
        <v>15703</v>
      </c>
      <c r="H17" s="282">
        <v>16</v>
      </c>
      <c r="I17" s="280">
        <v>28</v>
      </c>
      <c r="J17" s="281">
        <v>27</v>
      </c>
    </row>
    <row r="18" spans="2:10" ht="14.25" customHeight="1" x14ac:dyDescent="0.2">
      <c r="B18" s="386" t="s">
        <v>258</v>
      </c>
      <c r="C18" s="274">
        <v>1</v>
      </c>
      <c r="D18" s="268">
        <v>308749</v>
      </c>
      <c r="E18" s="274">
        <v>1890</v>
      </c>
      <c r="F18" s="278">
        <v>11814</v>
      </c>
      <c r="G18" s="279">
        <v>14666</v>
      </c>
      <c r="H18" s="282">
        <v>11</v>
      </c>
      <c r="I18" s="280">
        <v>40</v>
      </c>
      <c r="J18" s="281">
        <v>40</v>
      </c>
    </row>
    <row r="19" spans="2:10" ht="14.25" customHeight="1" x14ac:dyDescent="0.2">
      <c r="B19" s="386" t="s">
        <v>259</v>
      </c>
      <c r="C19" s="279">
        <v>1</v>
      </c>
      <c r="D19" s="387">
        <v>190184</v>
      </c>
      <c r="E19" s="279">
        <v>9697</v>
      </c>
      <c r="F19" s="278">
        <v>43374</v>
      </c>
      <c r="G19" s="279">
        <v>61489</v>
      </c>
      <c r="H19" s="282">
        <v>17</v>
      </c>
      <c r="I19" s="280">
        <v>93</v>
      </c>
      <c r="J19" s="281">
        <v>90</v>
      </c>
    </row>
    <row r="20" spans="2:10" ht="14.25" customHeight="1" x14ac:dyDescent="0.2">
      <c r="B20" s="273" t="s">
        <v>260</v>
      </c>
      <c r="C20" s="274">
        <v>1</v>
      </c>
      <c r="D20" s="268">
        <v>109123</v>
      </c>
      <c r="E20" s="274">
        <v>2730</v>
      </c>
      <c r="F20" s="278">
        <v>31511</v>
      </c>
      <c r="G20" s="279">
        <v>15916</v>
      </c>
      <c r="H20" s="282">
        <v>11</v>
      </c>
      <c r="I20" s="280">
        <v>26</v>
      </c>
      <c r="J20" s="281">
        <v>26</v>
      </c>
    </row>
    <row r="21" spans="2:10" ht="14.25" customHeight="1" x14ac:dyDescent="0.2">
      <c r="B21" s="273" t="s">
        <v>261</v>
      </c>
      <c r="C21" s="274">
        <v>1</v>
      </c>
      <c r="D21" s="268">
        <v>375846</v>
      </c>
      <c r="E21" s="274">
        <v>9771</v>
      </c>
      <c r="F21" s="278">
        <v>39871</v>
      </c>
      <c r="G21" s="279">
        <v>112457</v>
      </c>
      <c r="H21" s="282">
        <v>37</v>
      </c>
      <c r="I21" s="280">
        <v>48</v>
      </c>
      <c r="J21" s="281">
        <v>48</v>
      </c>
    </row>
    <row r="22" spans="2:10" ht="14.25" customHeight="1" x14ac:dyDescent="0.2">
      <c r="B22" s="284" t="s">
        <v>262</v>
      </c>
      <c r="C22" s="285">
        <v>1</v>
      </c>
      <c r="D22" s="286">
        <v>4894680</v>
      </c>
      <c r="E22" s="285">
        <v>39808</v>
      </c>
      <c r="F22" s="287">
        <v>180406</v>
      </c>
      <c r="G22" s="288">
        <v>641414</v>
      </c>
      <c r="H22" s="289">
        <v>107</v>
      </c>
      <c r="I22" s="290">
        <v>610</v>
      </c>
      <c r="J22" s="291">
        <v>610</v>
      </c>
    </row>
    <row r="23" spans="2:10" ht="15.95" customHeight="1" x14ac:dyDescent="0.2">
      <c r="B23" s="252" t="s">
        <v>22</v>
      </c>
      <c r="C23" s="252">
        <f t="shared" ref="C23:J23" si="0">SUM(C12:C22)</f>
        <v>11</v>
      </c>
      <c r="D23" s="246">
        <f t="shared" si="0"/>
        <v>9108777</v>
      </c>
      <c r="E23" s="252">
        <f t="shared" si="0"/>
        <v>111873</v>
      </c>
      <c r="F23" s="252">
        <f t="shared" si="0"/>
        <v>666072</v>
      </c>
      <c r="G23" s="252">
        <f t="shared" si="0"/>
        <v>1448648</v>
      </c>
      <c r="H23" s="252">
        <f t="shared" si="0"/>
        <v>342</v>
      </c>
      <c r="I23" s="252">
        <f t="shared" si="0"/>
        <v>1594</v>
      </c>
      <c r="J23" s="252">
        <f t="shared" si="0"/>
        <v>1584</v>
      </c>
    </row>
    <row r="24" spans="2:10" ht="13.5" customHeight="1" x14ac:dyDescent="0.2">
      <c r="B24" s="243" t="s">
        <v>280</v>
      </c>
      <c r="C24" s="243">
        <v>11</v>
      </c>
      <c r="D24" s="243">
        <v>9238143</v>
      </c>
      <c r="E24" s="243">
        <v>110873</v>
      </c>
      <c r="F24" s="243">
        <v>647031</v>
      </c>
      <c r="G24" s="243">
        <v>635222</v>
      </c>
      <c r="H24" s="243">
        <v>355</v>
      </c>
      <c r="I24" s="243">
        <v>1559</v>
      </c>
      <c r="J24" s="243">
        <v>1031</v>
      </c>
    </row>
    <row r="25" spans="2:10" ht="13.5" customHeight="1" x14ac:dyDescent="0.2">
      <c r="B25" s="243" t="s">
        <v>76</v>
      </c>
      <c r="C25" s="243">
        <f t="shared" ref="C25:J25" si="1">C23-C24</f>
        <v>0</v>
      </c>
      <c r="D25" s="243">
        <f t="shared" si="1"/>
        <v>-129366</v>
      </c>
      <c r="E25" s="243">
        <f t="shared" si="1"/>
        <v>1000</v>
      </c>
      <c r="F25" s="243">
        <f t="shared" si="1"/>
        <v>19041</v>
      </c>
      <c r="G25" s="243">
        <f t="shared" si="1"/>
        <v>813426</v>
      </c>
      <c r="H25" s="243">
        <f t="shared" si="1"/>
        <v>-13</v>
      </c>
      <c r="I25" s="243">
        <f t="shared" si="1"/>
        <v>35</v>
      </c>
      <c r="J25" s="243">
        <f t="shared" si="1"/>
        <v>553</v>
      </c>
    </row>
    <row r="26" spans="2:10" ht="15.95" customHeight="1" x14ac:dyDescent="0.2">
      <c r="B26" s="311"/>
      <c r="C26" s="312"/>
      <c r="D26" s="989"/>
      <c r="E26" s="989"/>
      <c r="F26" s="989"/>
      <c r="G26" s="989"/>
      <c r="H26" s="989"/>
      <c r="I26" s="989"/>
      <c r="J26" s="990"/>
    </row>
    <row r="27" spans="2:10" ht="15.95" customHeight="1" x14ac:dyDescent="0.2">
      <c r="B27" s="983" t="s">
        <v>252</v>
      </c>
      <c r="C27" s="968" t="s">
        <v>66</v>
      </c>
      <c r="D27" s="986" t="s">
        <v>2</v>
      </c>
      <c r="E27" s="987"/>
      <c r="F27" s="987"/>
      <c r="G27" s="987"/>
      <c r="H27" s="987"/>
      <c r="I27" s="987"/>
      <c r="J27" s="988"/>
    </row>
    <row r="28" spans="2:10" ht="15.95" customHeight="1" x14ac:dyDescent="0.2">
      <c r="B28" s="984"/>
      <c r="C28" s="969"/>
      <c r="D28" s="968" t="s">
        <v>143</v>
      </c>
      <c r="E28" s="968" t="s">
        <v>68</v>
      </c>
      <c r="F28" s="968" t="s">
        <v>69</v>
      </c>
      <c r="G28" s="968" t="s">
        <v>70</v>
      </c>
      <c r="H28" s="968" t="s">
        <v>222</v>
      </c>
      <c r="I28" s="968" t="s">
        <v>144</v>
      </c>
      <c r="J28" s="968" t="s">
        <v>269</v>
      </c>
    </row>
    <row r="29" spans="2:10" ht="15.95" customHeight="1" x14ac:dyDescent="0.2">
      <c r="B29" s="984"/>
      <c r="C29" s="969"/>
      <c r="D29" s="969"/>
      <c r="E29" s="969"/>
      <c r="F29" s="969"/>
      <c r="G29" s="969"/>
      <c r="H29" s="969"/>
      <c r="I29" s="969"/>
      <c r="J29" s="969"/>
    </row>
    <row r="30" spans="2:10" x14ac:dyDescent="0.2">
      <c r="B30" s="985"/>
      <c r="C30" s="970"/>
      <c r="D30" s="970"/>
      <c r="E30" s="970"/>
      <c r="F30" s="970"/>
      <c r="G30" s="970"/>
      <c r="H30" s="970"/>
      <c r="I30" s="970"/>
      <c r="J30" s="970"/>
    </row>
    <row r="31" spans="2:10" x14ac:dyDescent="0.2">
      <c r="B31" s="261">
        <v>1</v>
      </c>
      <c r="C31" s="262">
        <v>2</v>
      </c>
      <c r="D31" s="262">
        <v>3</v>
      </c>
      <c r="E31" s="293">
        <v>4</v>
      </c>
      <c r="F31" s="293">
        <v>5</v>
      </c>
      <c r="G31" s="293">
        <v>6</v>
      </c>
      <c r="H31" s="262">
        <v>7</v>
      </c>
      <c r="I31" s="262">
        <v>8</v>
      </c>
      <c r="J31" s="265">
        <v>9</v>
      </c>
    </row>
    <row r="32" spans="2:10" x14ac:dyDescent="0.2">
      <c r="B32" s="267" t="s">
        <v>230</v>
      </c>
      <c r="C32" s="294">
        <v>1</v>
      </c>
      <c r="D32" s="295">
        <v>22113</v>
      </c>
      <c r="E32" s="294">
        <v>1650</v>
      </c>
      <c r="F32" s="295">
        <v>1553</v>
      </c>
      <c r="G32" s="294">
        <v>8250</v>
      </c>
      <c r="H32" s="381">
        <v>2</v>
      </c>
      <c r="I32" s="294">
        <v>44</v>
      </c>
      <c r="J32" s="294">
        <v>44</v>
      </c>
    </row>
    <row r="33" spans="2:10" x14ac:dyDescent="0.2">
      <c r="B33" s="273" t="s">
        <v>231</v>
      </c>
      <c r="C33" s="296">
        <v>1</v>
      </c>
      <c r="D33" s="297">
        <v>86050</v>
      </c>
      <c r="E33" s="296">
        <v>5118</v>
      </c>
      <c r="F33" s="297">
        <v>46335</v>
      </c>
      <c r="G33" s="296">
        <v>88327</v>
      </c>
      <c r="H33" s="382">
        <v>8</v>
      </c>
      <c r="I33" s="296">
        <v>67</v>
      </c>
      <c r="J33" s="296">
        <v>50</v>
      </c>
    </row>
    <row r="34" spans="2:10" x14ac:dyDescent="0.2">
      <c r="B34" s="273" t="s">
        <v>232</v>
      </c>
      <c r="C34" s="296">
        <v>1</v>
      </c>
      <c r="D34" s="297">
        <v>18935</v>
      </c>
      <c r="E34" s="296">
        <v>459</v>
      </c>
      <c r="F34" s="297">
        <v>2618</v>
      </c>
      <c r="G34" s="296">
        <v>4675</v>
      </c>
      <c r="H34" s="382">
        <v>2</v>
      </c>
      <c r="I34" s="296">
        <v>23</v>
      </c>
      <c r="J34" s="296">
        <v>23</v>
      </c>
    </row>
    <row r="35" spans="2:10" x14ac:dyDescent="0.2">
      <c r="B35" s="386" t="s">
        <v>233</v>
      </c>
      <c r="C35" s="296">
        <v>1</v>
      </c>
      <c r="D35" s="297">
        <v>44647</v>
      </c>
      <c r="E35" s="296">
        <v>204</v>
      </c>
      <c r="F35" s="297">
        <v>532</v>
      </c>
      <c r="G35" s="296">
        <v>725</v>
      </c>
      <c r="H35" s="382">
        <v>1</v>
      </c>
      <c r="I35" s="296">
        <v>37</v>
      </c>
      <c r="J35" s="296">
        <v>37</v>
      </c>
    </row>
    <row r="36" spans="2:10" x14ac:dyDescent="0.2">
      <c r="B36" s="273" t="s">
        <v>271</v>
      </c>
      <c r="C36" s="296">
        <v>1</v>
      </c>
      <c r="D36" s="297">
        <v>102901</v>
      </c>
      <c r="E36" s="296">
        <v>2745</v>
      </c>
      <c r="F36" s="297">
        <v>26225</v>
      </c>
      <c r="G36" s="296">
        <v>49654</v>
      </c>
      <c r="H36" s="382">
        <v>8</v>
      </c>
      <c r="I36" s="296">
        <v>106</v>
      </c>
      <c r="J36" s="296">
        <v>106</v>
      </c>
    </row>
    <row r="37" spans="2:10" x14ac:dyDescent="0.2">
      <c r="B37" s="273" t="s">
        <v>239</v>
      </c>
      <c r="C37" s="296">
        <v>1</v>
      </c>
      <c r="D37" s="297">
        <v>30344</v>
      </c>
      <c r="E37" s="296">
        <v>1059</v>
      </c>
      <c r="F37" s="297">
        <v>7043</v>
      </c>
      <c r="G37" s="296">
        <v>15000</v>
      </c>
      <c r="H37" s="382">
        <v>2</v>
      </c>
      <c r="I37" s="296">
        <v>23</v>
      </c>
      <c r="J37" s="296">
        <v>23</v>
      </c>
    </row>
    <row r="38" spans="2:10" x14ac:dyDescent="0.2">
      <c r="B38" s="273" t="s">
        <v>234</v>
      </c>
      <c r="C38" s="296">
        <v>1</v>
      </c>
      <c r="D38" s="297">
        <v>24798</v>
      </c>
      <c r="E38" s="296">
        <v>356</v>
      </c>
      <c r="F38" s="297">
        <v>4717</v>
      </c>
      <c r="G38" s="296">
        <v>2873</v>
      </c>
      <c r="H38" s="382">
        <v>3</v>
      </c>
      <c r="I38" s="296">
        <v>19</v>
      </c>
      <c r="J38" s="296">
        <v>19</v>
      </c>
    </row>
    <row r="39" spans="2:10" x14ac:dyDescent="0.2">
      <c r="B39" s="273" t="s">
        <v>235</v>
      </c>
      <c r="C39" s="296">
        <v>1</v>
      </c>
      <c r="D39" s="297">
        <v>59272</v>
      </c>
      <c r="E39" s="296">
        <v>1199</v>
      </c>
      <c r="F39" s="297">
        <v>23056</v>
      </c>
      <c r="G39" s="296">
        <v>19800</v>
      </c>
      <c r="H39" s="382">
        <v>4</v>
      </c>
      <c r="I39" s="296">
        <v>36</v>
      </c>
      <c r="J39" s="296">
        <v>36</v>
      </c>
    </row>
    <row r="40" spans="2:10" x14ac:dyDescent="0.2">
      <c r="B40" s="273" t="s">
        <v>270</v>
      </c>
      <c r="C40" s="296">
        <v>1</v>
      </c>
      <c r="D40" s="297">
        <v>49925</v>
      </c>
      <c r="E40" s="296">
        <v>1886</v>
      </c>
      <c r="F40" s="297">
        <v>16478</v>
      </c>
      <c r="G40" s="296">
        <v>13185</v>
      </c>
      <c r="H40" s="382">
        <v>2</v>
      </c>
      <c r="I40" s="296">
        <v>37</v>
      </c>
      <c r="J40" s="296">
        <v>37</v>
      </c>
    </row>
    <row r="41" spans="2:10" x14ac:dyDescent="0.2">
      <c r="B41" s="273" t="s">
        <v>236</v>
      </c>
      <c r="C41" s="296">
        <v>1</v>
      </c>
      <c r="D41" s="297">
        <v>72360</v>
      </c>
      <c r="E41" s="296">
        <v>1848</v>
      </c>
      <c r="F41" s="297">
        <v>2852</v>
      </c>
      <c r="G41" s="296">
        <v>3348</v>
      </c>
      <c r="H41" s="382">
        <v>2</v>
      </c>
      <c r="I41" s="296">
        <v>10</v>
      </c>
      <c r="J41" s="296">
        <v>10</v>
      </c>
    </row>
    <row r="42" spans="2:10" x14ac:dyDescent="0.2">
      <c r="B42" s="273" t="s">
        <v>237</v>
      </c>
      <c r="C42" s="296">
        <v>1</v>
      </c>
      <c r="D42" s="297">
        <v>139966</v>
      </c>
      <c r="E42" s="296">
        <v>7763</v>
      </c>
      <c r="F42" s="297">
        <v>84703</v>
      </c>
      <c r="G42" s="296">
        <v>40724</v>
      </c>
      <c r="H42" s="382">
        <v>19</v>
      </c>
      <c r="I42" s="296">
        <v>85</v>
      </c>
      <c r="J42" s="296">
        <v>85</v>
      </c>
    </row>
    <row r="43" spans="2:10" x14ac:dyDescent="0.2">
      <c r="B43" s="284" t="s">
        <v>238</v>
      </c>
      <c r="C43" s="298">
        <v>1</v>
      </c>
      <c r="D43" s="299">
        <v>143817</v>
      </c>
      <c r="E43" s="298">
        <v>2108</v>
      </c>
      <c r="F43" s="299">
        <v>8579</v>
      </c>
      <c r="G43" s="298">
        <v>20100</v>
      </c>
      <c r="H43" s="383">
        <v>6</v>
      </c>
      <c r="I43" s="298">
        <v>56</v>
      </c>
      <c r="J43" s="298">
        <v>56</v>
      </c>
    </row>
    <row r="44" spans="2:10" x14ac:dyDescent="0.2">
      <c r="B44" s="252" t="s">
        <v>22</v>
      </c>
      <c r="C44" s="246">
        <f t="shared" ref="C44:J44" si="2">SUM(C32:C43)</f>
        <v>12</v>
      </c>
      <c r="D44" s="246">
        <f>SUM(D32:D43)</f>
        <v>795128</v>
      </c>
      <c r="E44" s="246">
        <f t="shared" si="2"/>
        <v>26395</v>
      </c>
      <c r="F44" s="246">
        <f t="shared" si="2"/>
        <v>224691</v>
      </c>
      <c r="G44" s="246">
        <f t="shared" si="2"/>
        <v>266661</v>
      </c>
      <c r="H44" s="246">
        <f t="shared" si="2"/>
        <v>59</v>
      </c>
      <c r="I44" s="246">
        <f t="shared" si="2"/>
        <v>543</v>
      </c>
      <c r="J44" s="246">
        <f t="shared" si="2"/>
        <v>526</v>
      </c>
    </row>
    <row r="45" spans="2:10" x14ac:dyDescent="0.2">
      <c r="B45" s="243" t="s">
        <v>280</v>
      </c>
      <c r="C45" s="243">
        <v>12</v>
      </c>
      <c r="D45" s="243">
        <v>812483</v>
      </c>
      <c r="E45" s="243">
        <v>28647</v>
      </c>
      <c r="F45" s="243">
        <v>289677</v>
      </c>
      <c r="G45" s="243">
        <v>206578</v>
      </c>
      <c r="H45" s="384">
        <v>64</v>
      </c>
      <c r="I45" s="243">
        <v>469</v>
      </c>
      <c r="J45" s="243">
        <v>463</v>
      </c>
    </row>
    <row r="46" spans="2:10" x14ac:dyDescent="0.2">
      <c r="B46" s="243" t="s">
        <v>76</v>
      </c>
      <c r="C46" s="385">
        <f>SUM(C44-C45)</f>
        <v>0</v>
      </c>
      <c r="D46" s="300">
        <f>D44-D45</f>
        <v>-17355</v>
      </c>
      <c r="E46" s="300">
        <f t="shared" ref="E46:J46" si="3">E44-E45</f>
        <v>-2252</v>
      </c>
      <c r="F46" s="300">
        <f t="shared" si="3"/>
        <v>-64986</v>
      </c>
      <c r="G46" s="300">
        <f t="shared" si="3"/>
        <v>60083</v>
      </c>
      <c r="H46" s="317">
        <f t="shared" si="3"/>
        <v>-5</v>
      </c>
      <c r="I46" s="300">
        <f t="shared" si="3"/>
        <v>74</v>
      </c>
      <c r="J46" s="300">
        <f t="shared" si="3"/>
        <v>63</v>
      </c>
    </row>
    <row r="47" spans="2:10" x14ac:dyDescent="0.2">
      <c r="B47" s="315"/>
      <c r="C47" s="315"/>
      <c r="D47" s="315"/>
      <c r="E47" s="315"/>
      <c r="F47" s="315"/>
      <c r="G47" s="315"/>
      <c r="H47" s="315"/>
      <c r="I47" s="315"/>
      <c r="J47" s="315"/>
    </row>
    <row r="48" spans="2:10" x14ac:dyDescent="0.2">
      <c r="B48" s="252" t="s">
        <v>148</v>
      </c>
      <c r="C48" s="246">
        <f t="shared" ref="C48:H49" si="4">SUM(C23+C44)</f>
        <v>23</v>
      </c>
      <c r="D48" s="246">
        <f t="shared" si="4"/>
        <v>9903905</v>
      </c>
      <c r="E48" s="246">
        <f t="shared" si="4"/>
        <v>138268</v>
      </c>
      <c r="F48" s="246">
        <f t="shared" si="4"/>
        <v>890763</v>
      </c>
      <c r="G48" s="246">
        <f t="shared" si="4"/>
        <v>1715309</v>
      </c>
      <c r="H48" s="246">
        <f t="shared" si="4"/>
        <v>401</v>
      </c>
      <c r="I48" s="246">
        <f>SUM(I23,I44)</f>
        <v>2137</v>
      </c>
      <c r="J48" s="246">
        <f>SUM(J44,J23)</f>
        <v>2110</v>
      </c>
    </row>
    <row r="49" spans="2:10" x14ac:dyDescent="0.2">
      <c r="B49" s="243" t="s">
        <v>280</v>
      </c>
      <c r="C49" s="316">
        <f t="shared" si="4"/>
        <v>23</v>
      </c>
      <c r="D49" s="316">
        <f t="shared" si="4"/>
        <v>10050626</v>
      </c>
      <c r="E49" s="316">
        <f t="shared" si="4"/>
        <v>139520</v>
      </c>
      <c r="F49" s="316">
        <f t="shared" si="4"/>
        <v>936708</v>
      </c>
      <c r="G49" s="316">
        <f t="shared" si="4"/>
        <v>841800</v>
      </c>
      <c r="H49" s="316">
        <f t="shared" si="4"/>
        <v>419</v>
      </c>
      <c r="I49" s="316">
        <f>SUM(I24,I45)</f>
        <v>2028</v>
      </c>
      <c r="J49" s="316">
        <f>SUM(J45,J24)</f>
        <v>1494</v>
      </c>
    </row>
    <row r="50" spans="2:10" x14ac:dyDescent="0.2">
      <c r="B50" s="243" t="s">
        <v>123</v>
      </c>
      <c r="C50" s="317">
        <f t="shared" ref="C50:J50" si="5">C48-C49</f>
        <v>0</v>
      </c>
      <c r="D50" s="317">
        <f t="shared" si="5"/>
        <v>-146721</v>
      </c>
      <c r="E50" s="317">
        <f t="shared" si="5"/>
        <v>-1252</v>
      </c>
      <c r="F50" s="317">
        <f t="shared" si="5"/>
        <v>-45945</v>
      </c>
      <c r="G50" s="317">
        <f t="shared" si="5"/>
        <v>873509</v>
      </c>
      <c r="H50" s="317">
        <f t="shared" si="5"/>
        <v>-18</v>
      </c>
      <c r="I50" s="317">
        <f t="shared" si="5"/>
        <v>109</v>
      </c>
      <c r="J50" s="317">
        <f t="shared" si="5"/>
        <v>616</v>
      </c>
    </row>
  </sheetData>
  <mergeCells count="23">
    <mergeCell ref="D26:J26"/>
    <mergeCell ref="B27:B30"/>
    <mergeCell ref="C27:C30"/>
    <mergeCell ref="D27:J27"/>
    <mergeCell ref="D28:D30"/>
    <mergeCell ref="E28:E30"/>
    <mergeCell ref="F28:F30"/>
    <mergeCell ref="G28:G30"/>
    <mergeCell ref="H28:H30"/>
    <mergeCell ref="I28:I30"/>
    <mergeCell ref="J28:J30"/>
    <mergeCell ref="B2:J3"/>
    <mergeCell ref="I5:J5"/>
    <mergeCell ref="B7:B10"/>
    <mergeCell ref="C7:C10"/>
    <mergeCell ref="D7:J7"/>
    <mergeCell ref="D8:D10"/>
    <mergeCell ref="E8:E10"/>
    <mergeCell ref="F8:F10"/>
    <mergeCell ref="G8:G10"/>
    <mergeCell ref="H8:H10"/>
    <mergeCell ref="I8:I10"/>
    <mergeCell ref="J8:J10"/>
  </mergeCells>
  <pageMargins left="0.79" right="0.75" top="1" bottom="1" header="0" footer="0"/>
  <pageSetup paperSize="9" scale="76" orientation="portrait" r:id="rId1"/>
  <headerFooter alignWithMargins="0"/>
  <ignoredErrors>
    <ignoredError sqref="C23:J23 C44:J44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31"/>
  <sheetViews>
    <sheetView zoomScaleNormal="100" workbookViewId="0">
      <selection activeCell="C22" sqref="C22:I22"/>
    </sheetView>
  </sheetViews>
  <sheetFormatPr defaultColWidth="9.140625" defaultRowHeight="12.75" x14ac:dyDescent="0.2"/>
  <cols>
    <col min="1" max="1" width="8.5703125" style="162" customWidth="1"/>
    <col min="2" max="2" width="27" style="162" customWidth="1"/>
    <col min="3" max="3" width="7.42578125" style="162" customWidth="1"/>
    <col min="4" max="4" width="8.5703125" style="162" customWidth="1"/>
    <col min="5" max="5" width="7.7109375" style="162" customWidth="1"/>
    <col min="6" max="6" width="8.5703125" style="162" customWidth="1"/>
    <col min="7" max="7" width="10.5703125" style="162" customWidth="1"/>
    <col min="8" max="8" width="11" style="162" customWidth="1"/>
    <col min="9" max="9" width="9.7109375" style="162" customWidth="1"/>
    <col min="10" max="10" width="6.28515625" style="162" customWidth="1"/>
    <col min="11" max="16384" width="9.140625" style="162"/>
  </cols>
  <sheetData>
    <row r="2" spans="1:21" ht="15" x14ac:dyDescent="0.2">
      <c r="B2" s="961" t="s">
        <v>145</v>
      </c>
      <c r="C2" s="961"/>
      <c r="D2" s="961"/>
      <c r="E2" s="961"/>
      <c r="F2" s="961"/>
      <c r="G2" s="961"/>
      <c r="H2" s="961"/>
      <c r="I2" s="961"/>
      <c r="J2" s="961"/>
    </row>
    <row r="3" spans="1:21" ht="15.75" x14ac:dyDescent="0.25">
      <c r="B3" s="175"/>
      <c r="C3" s="991"/>
      <c r="D3" s="991"/>
      <c r="E3" s="991"/>
      <c r="F3" s="991"/>
      <c r="G3" s="991"/>
      <c r="H3" s="230"/>
      <c r="I3" s="230"/>
      <c r="J3" s="230"/>
    </row>
    <row r="4" spans="1:21" ht="15.75" x14ac:dyDescent="0.25">
      <c r="B4" s="175"/>
      <c r="C4" s="233"/>
      <c r="D4" s="233"/>
      <c r="E4" s="233"/>
      <c r="F4" s="233"/>
      <c r="G4" s="233"/>
      <c r="H4" s="230"/>
      <c r="I4" s="962" t="s">
        <v>285</v>
      </c>
      <c r="J4" s="962"/>
    </row>
    <row r="5" spans="1:21" ht="15.75" x14ac:dyDescent="0.25">
      <c r="B5" s="258"/>
      <c r="C5" s="259"/>
      <c r="D5" s="259"/>
      <c r="E5" s="259"/>
      <c r="F5" s="259"/>
      <c r="G5" s="259"/>
      <c r="H5" s="259"/>
      <c r="I5" s="259"/>
      <c r="J5" s="259"/>
    </row>
    <row r="6" spans="1:21" x14ac:dyDescent="0.2">
      <c r="A6" s="260"/>
      <c r="B6" s="992"/>
      <c r="C6" s="969" t="s">
        <v>66</v>
      </c>
      <c r="D6" s="995" t="s">
        <v>2</v>
      </c>
      <c r="E6" s="996"/>
      <c r="F6" s="996"/>
      <c r="G6" s="996"/>
      <c r="H6" s="996"/>
      <c r="I6" s="996"/>
      <c r="J6" s="997"/>
    </row>
    <row r="7" spans="1:21" x14ac:dyDescent="0.2">
      <c r="A7" s="260"/>
      <c r="B7" s="993"/>
      <c r="C7" s="969"/>
      <c r="D7" s="968" t="s">
        <v>143</v>
      </c>
      <c r="E7" s="968" t="s">
        <v>68</v>
      </c>
      <c r="F7" s="968" t="s">
        <v>69</v>
      </c>
      <c r="G7" s="968" t="s">
        <v>70</v>
      </c>
      <c r="H7" s="968" t="s">
        <v>222</v>
      </c>
      <c r="I7" s="968" t="s">
        <v>144</v>
      </c>
      <c r="J7" s="968" t="s">
        <v>269</v>
      </c>
    </row>
    <row r="8" spans="1:21" x14ac:dyDescent="0.2">
      <c r="A8" s="260"/>
      <c r="B8" s="993"/>
      <c r="C8" s="969"/>
      <c r="D8" s="969"/>
      <c r="E8" s="969"/>
      <c r="F8" s="969"/>
      <c r="G8" s="969"/>
      <c r="H8" s="969"/>
      <c r="I8" s="969"/>
      <c r="J8" s="969"/>
    </row>
    <row r="9" spans="1:21" ht="24" customHeight="1" x14ac:dyDescent="0.2">
      <c r="A9" s="260"/>
      <c r="B9" s="994"/>
      <c r="C9" s="970"/>
      <c r="D9" s="970"/>
      <c r="E9" s="970"/>
      <c r="F9" s="970"/>
      <c r="G9" s="970"/>
      <c r="H9" s="970"/>
      <c r="I9" s="970"/>
      <c r="J9" s="970"/>
    </row>
    <row r="10" spans="1:21" x14ac:dyDescent="0.2">
      <c r="B10" s="261">
        <v>1</v>
      </c>
      <c r="C10" s="262">
        <v>2</v>
      </c>
      <c r="D10" s="263">
        <v>3</v>
      </c>
      <c r="E10" s="264">
        <v>4</v>
      </c>
      <c r="F10" s="264">
        <v>5</v>
      </c>
      <c r="G10" s="264">
        <v>6</v>
      </c>
      <c r="H10" s="262">
        <v>7</v>
      </c>
      <c r="I10" s="262">
        <v>8</v>
      </c>
      <c r="J10" s="265">
        <v>9</v>
      </c>
      <c r="K10" s="266"/>
    </row>
    <row r="11" spans="1:21" ht="13.5" customHeight="1" x14ac:dyDescent="0.2">
      <c r="A11" s="195"/>
      <c r="B11" s="667" t="s">
        <v>253</v>
      </c>
      <c r="C11" s="168">
        <v>1</v>
      </c>
      <c r="D11" s="268">
        <v>868644</v>
      </c>
      <c r="E11" s="168">
        <v>12013</v>
      </c>
      <c r="F11" s="269">
        <v>84943</v>
      </c>
      <c r="G11" s="269">
        <v>166739</v>
      </c>
      <c r="H11" s="270">
        <v>42</v>
      </c>
      <c r="I11" s="270">
        <v>197</v>
      </c>
      <c r="J11" s="271">
        <v>197</v>
      </c>
      <c r="K11" s="272"/>
    </row>
    <row r="12" spans="1:21" ht="13.5" customHeight="1" x14ac:dyDescent="0.2">
      <c r="A12" s="195"/>
      <c r="B12" s="386" t="s">
        <v>254</v>
      </c>
      <c r="C12" s="274">
        <v>1</v>
      </c>
      <c r="D12" s="268">
        <v>86884</v>
      </c>
      <c r="E12" s="275">
        <v>2454</v>
      </c>
      <c r="F12" s="276">
        <v>3995</v>
      </c>
      <c r="G12" s="276">
        <v>9853</v>
      </c>
      <c r="H12" s="275">
        <v>9</v>
      </c>
      <c r="I12" s="275">
        <v>59</v>
      </c>
      <c r="J12" s="277">
        <v>59</v>
      </c>
      <c r="U12" s="131"/>
    </row>
    <row r="13" spans="1:21" ht="12.75" customHeight="1" x14ac:dyDescent="0.2">
      <c r="A13" s="195"/>
      <c r="B13" s="386" t="s">
        <v>255</v>
      </c>
      <c r="C13" s="274">
        <v>1</v>
      </c>
      <c r="D13" s="268">
        <v>626154</v>
      </c>
      <c r="E13" s="275">
        <v>18083</v>
      </c>
      <c r="F13" s="276">
        <v>182041</v>
      </c>
      <c r="G13" s="276">
        <v>292119</v>
      </c>
      <c r="H13" s="275">
        <v>30</v>
      </c>
      <c r="I13" s="275">
        <v>188</v>
      </c>
      <c r="J13" s="277">
        <v>182</v>
      </c>
      <c r="M13" s="266"/>
      <c r="U13" s="131"/>
    </row>
    <row r="14" spans="1:21" ht="13.5" customHeight="1" x14ac:dyDescent="0.2">
      <c r="A14" s="195"/>
      <c r="B14" s="386" t="s">
        <v>256</v>
      </c>
      <c r="C14" s="274">
        <v>1</v>
      </c>
      <c r="D14" s="268">
        <v>1025821</v>
      </c>
      <c r="E14" s="275">
        <v>12029</v>
      </c>
      <c r="F14" s="276">
        <v>44933</v>
      </c>
      <c r="G14" s="276">
        <v>105424</v>
      </c>
      <c r="H14" s="275">
        <v>45</v>
      </c>
      <c r="I14" s="275">
        <v>262</v>
      </c>
      <c r="J14" s="277">
        <v>262</v>
      </c>
      <c r="U14" s="131"/>
    </row>
    <row r="15" spans="1:21" ht="14.25" customHeight="1" x14ac:dyDescent="0.2">
      <c r="A15" s="195"/>
      <c r="B15" s="386" t="s">
        <v>257</v>
      </c>
      <c r="C15" s="274">
        <v>1</v>
      </c>
      <c r="D15" s="268">
        <v>307602</v>
      </c>
      <c r="E15" s="274">
        <v>1830</v>
      </c>
      <c r="F15" s="278">
        <v>29611</v>
      </c>
      <c r="G15" s="279">
        <v>12868</v>
      </c>
      <c r="H15" s="282">
        <v>17</v>
      </c>
      <c r="I15" s="280">
        <v>43</v>
      </c>
      <c r="J15" s="281">
        <v>43</v>
      </c>
    </row>
    <row r="16" spans="1:21" ht="23.25" customHeight="1" x14ac:dyDescent="0.2">
      <c r="A16" s="195"/>
      <c r="B16" s="668" t="s">
        <v>272</v>
      </c>
      <c r="C16" s="274">
        <v>1</v>
      </c>
      <c r="D16" s="268">
        <v>315090</v>
      </c>
      <c r="E16" s="274">
        <v>1568</v>
      </c>
      <c r="F16" s="278">
        <v>13573</v>
      </c>
      <c r="G16" s="279">
        <v>15703</v>
      </c>
      <c r="H16" s="282">
        <v>16</v>
      </c>
      <c r="I16" s="280">
        <v>28</v>
      </c>
      <c r="J16" s="281">
        <v>27</v>
      </c>
      <c r="K16" s="283"/>
    </row>
    <row r="17" spans="1:10" ht="14.25" customHeight="1" x14ac:dyDescent="0.2">
      <c r="A17" s="195"/>
      <c r="B17" s="386" t="s">
        <v>258</v>
      </c>
      <c r="C17" s="274">
        <v>1</v>
      </c>
      <c r="D17" s="268">
        <v>308749</v>
      </c>
      <c r="E17" s="274">
        <v>1890</v>
      </c>
      <c r="F17" s="278">
        <v>11814</v>
      </c>
      <c r="G17" s="279">
        <v>14666</v>
      </c>
      <c r="H17" s="282">
        <v>11</v>
      </c>
      <c r="I17" s="280">
        <v>40</v>
      </c>
      <c r="J17" s="281">
        <v>40</v>
      </c>
    </row>
    <row r="18" spans="1:10" ht="13.5" customHeight="1" x14ac:dyDescent="0.2">
      <c r="A18" s="195"/>
      <c r="B18" s="386" t="s">
        <v>259</v>
      </c>
      <c r="C18" s="279">
        <v>1</v>
      </c>
      <c r="D18" s="387">
        <v>190184</v>
      </c>
      <c r="E18" s="279">
        <v>9697</v>
      </c>
      <c r="F18" s="278">
        <v>43374</v>
      </c>
      <c r="G18" s="279">
        <v>61489</v>
      </c>
      <c r="H18" s="282">
        <v>17</v>
      </c>
      <c r="I18" s="280">
        <v>93</v>
      </c>
      <c r="J18" s="281">
        <v>90</v>
      </c>
    </row>
    <row r="19" spans="1:10" ht="13.5" customHeight="1" x14ac:dyDescent="0.2">
      <c r="A19" s="195"/>
      <c r="B19" s="273" t="s">
        <v>260</v>
      </c>
      <c r="C19" s="274">
        <v>1</v>
      </c>
      <c r="D19" s="268">
        <v>109123</v>
      </c>
      <c r="E19" s="274">
        <v>2730</v>
      </c>
      <c r="F19" s="278">
        <v>31511</v>
      </c>
      <c r="G19" s="279">
        <v>15916</v>
      </c>
      <c r="H19" s="282">
        <v>11</v>
      </c>
      <c r="I19" s="280">
        <v>26</v>
      </c>
      <c r="J19" s="281">
        <v>26</v>
      </c>
    </row>
    <row r="20" spans="1:10" ht="13.5" customHeight="1" x14ac:dyDescent="0.2">
      <c r="A20" s="195"/>
      <c r="B20" s="273" t="s">
        <v>261</v>
      </c>
      <c r="C20" s="274">
        <v>1</v>
      </c>
      <c r="D20" s="268">
        <v>375846</v>
      </c>
      <c r="E20" s="274">
        <v>9771</v>
      </c>
      <c r="F20" s="278">
        <v>39871</v>
      </c>
      <c r="G20" s="279">
        <v>112457</v>
      </c>
      <c r="H20" s="282">
        <v>37</v>
      </c>
      <c r="I20" s="280">
        <v>48</v>
      </c>
      <c r="J20" s="281">
        <v>48</v>
      </c>
    </row>
    <row r="21" spans="1:10" ht="13.5" customHeight="1" x14ac:dyDescent="0.2">
      <c r="A21" s="195"/>
      <c r="B21" s="284" t="s">
        <v>262</v>
      </c>
      <c r="C21" s="285">
        <v>1</v>
      </c>
      <c r="D21" s="286">
        <v>4894680</v>
      </c>
      <c r="E21" s="285">
        <v>39808</v>
      </c>
      <c r="F21" s="287">
        <v>180406</v>
      </c>
      <c r="G21" s="288">
        <v>641414</v>
      </c>
      <c r="H21" s="289">
        <v>107</v>
      </c>
      <c r="I21" s="290">
        <v>610</v>
      </c>
      <c r="J21" s="291">
        <v>610</v>
      </c>
    </row>
    <row r="22" spans="1:10" ht="15.95" customHeight="1" x14ac:dyDescent="0.2">
      <c r="B22" s="252" t="s">
        <v>22</v>
      </c>
      <c r="C22" s="252">
        <f t="shared" ref="C22:J22" si="0">SUM(C11:C21)</f>
        <v>11</v>
      </c>
      <c r="D22" s="246">
        <f t="shared" si="0"/>
        <v>9108777</v>
      </c>
      <c r="E22" s="252">
        <f t="shared" si="0"/>
        <v>111873</v>
      </c>
      <c r="F22" s="252">
        <f t="shared" si="0"/>
        <v>666072</v>
      </c>
      <c r="G22" s="252">
        <f t="shared" si="0"/>
        <v>1448648</v>
      </c>
      <c r="H22" s="252">
        <f t="shared" si="0"/>
        <v>342</v>
      </c>
      <c r="I22" s="252">
        <f t="shared" si="0"/>
        <v>1594</v>
      </c>
      <c r="J22" s="252">
        <f t="shared" si="0"/>
        <v>1584</v>
      </c>
    </row>
    <row r="23" spans="1:10" ht="14.25" customHeight="1" x14ac:dyDescent="0.2">
      <c r="B23" s="243" t="s">
        <v>280</v>
      </c>
      <c r="C23" s="243">
        <v>11</v>
      </c>
      <c r="D23" s="243">
        <v>9238143</v>
      </c>
      <c r="E23" s="243">
        <v>110873</v>
      </c>
      <c r="F23" s="243">
        <v>647031</v>
      </c>
      <c r="G23" s="243">
        <v>635222</v>
      </c>
      <c r="H23" s="243">
        <v>355</v>
      </c>
      <c r="I23" s="243">
        <v>1559</v>
      </c>
      <c r="J23" s="243">
        <v>1031</v>
      </c>
    </row>
    <row r="24" spans="1:10" ht="13.5" customHeight="1" x14ac:dyDescent="0.2">
      <c r="B24" s="243" t="s">
        <v>76</v>
      </c>
      <c r="C24" s="243">
        <f t="shared" ref="C24:J24" si="1">C22-C23</f>
        <v>0</v>
      </c>
      <c r="D24" s="243">
        <f t="shared" si="1"/>
        <v>-129366</v>
      </c>
      <c r="E24" s="243">
        <f t="shared" si="1"/>
        <v>1000</v>
      </c>
      <c r="F24" s="243">
        <f t="shared" si="1"/>
        <v>19041</v>
      </c>
      <c r="G24" s="243">
        <f t="shared" si="1"/>
        <v>813426</v>
      </c>
      <c r="H24" s="243">
        <f t="shared" si="1"/>
        <v>-13</v>
      </c>
      <c r="I24" s="243">
        <f t="shared" si="1"/>
        <v>35</v>
      </c>
      <c r="J24" s="243">
        <f t="shared" si="1"/>
        <v>553</v>
      </c>
    </row>
    <row r="25" spans="1:10" ht="15.95" customHeight="1" x14ac:dyDescent="0.2">
      <c r="B25" s="230"/>
    </row>
    <row r="26" spans="1:10" ht="15.95" customHeight="1" x14ac:dyDescent="0.2">
      <c r="B26" s="230"/>
    </row>
    <row r="27" spans="1:10" ht="15.95" customHeight="1" x14ac:dyDescent="0.2"/>
    <row r="28" spans="1:10" ht="15.95" customHeight="1" x14ac:dyDescent="0.2"/>
    <row r="29" spans="1:10" ht="15.95" customHeight="1" x14ac:dyDescent="0.2"/>
    <row r="30" spans="1:10" ht="15.95" customHeight="1" x14ac:dyDescent="0.2"/>
    <row r="31" spans="1:10" ht="15.95" customHeight="1" x14ac:dyDescent="0.2"/>
  </sheetData>
  <mergeCells count="13">
    <mergeCell ref="H7:H9"/>
    <mergeCell ref="I7:I9"/>
    <mergeCell ref="J7:J9"/>
    <mergeCell ref="B2:J2"/>
    <mergeCell ref="C3:G3"/>
    <mergeCell ref="I4:J4"/>
    <mergeCell ref="B6:B9"/>
    <mergeCell ref="C6:C9"/>
    <mergeCell ref="D6:J6"/>
    <mergeCell ref="D7:D9"/>
    <mergeCell ref="E7:E9"/>
    <mergeCell ref="F7:F9"/>
    <mergeCell ref="G7:G9"/>
  </mergeCells>
  <pageMargins left="1.03" right="0.75" top="1" bottom="1" header="0.5" footer="0.5"/>
  <pageSetup paperSize="9" scale="78" orientation="portrait" r:id="rId1"/>
  <headerFooter alignWithMargins="0"/>
  <ignoredErrors>
    <ignoredError sqref="C22:J22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31"/>
  <sheetViews>
    <sheetView zoomScaleNormal="100" workbookViewId="0">
      <selection activeCell="D33" sqref="D33"/>
    </sheetView>
  </sheetViews>
  <sheetFormatPr defaultColWidth="9.140625" defaultRowHeight="12.75" x14ac:dyDescent="0.2"/>
  <cols>
    <col min="1" max="1" width="8" style="162" customWidth="1"/>
    <col min="2" max="2" width="30.5703125" style="162" customWidth="1"/>
    <col min="3" max="3" width="7.7109375" style="162" customWidth="1"/>
    <col min="4" max="4" width="8.42578125" style="162" customWidth="1"/>
    <col min="5" max="5" width="7.85546875" style="162" customWidth="1"/>
    <col min="6" max="6" width="8.5703125" style="162" customWidth="1"/>
    <col min="7" max="7" width="10.7109375" style="162" customWidth="1"/>
    <col min="8" max="8" width="10.85546875" style="195" customWidth="1"/>
    <col min="9" max="9" width="8.140625" style="162" customWidth="1"/>
    <col min="10" max="10" width="7.7109375" style="162" customWidth="1"/>
    <col min="11" max="16384" width="9.140625" style="162"/>
  </cols>
  <sheetData>
    <row r="2" spans="2:21" ht="15" x14ac:dyDescent="0.2">
      <c r="B2" s="961" t="s">
        <v>146</v>
      </c>
      <c r="C2" s="961"/>
      <c r="D2" s="961"/>
      <c r="E2" s="961"/>
      <c r="F2" s="961"/>
      <c r="G2" s="961"/>
      <c r="H2" s="961"/>
      <c r="I2" s="961"/>
      <c r="J2" s="961"/>
    </row>
    <row r="3" spans="2:21" ht="15.75" x14ac:dyDescent="0.25">
      <c r="B3" s="175"/>
      <c r="C3" s="991"/>
      <c r="D3" s="991"/>
      <c r="E3" s="991"/>
      <c r="F3" s="991"/>
      <c r="G3" s="991"/>
      <c r="H3" s="378"/>
      <c r="I3" s="230"/>
      <c r="J3" s="230"/>
    </row>
    <row r="4" spans="2:21" ht="15.75" x14ac:dyDescent="0.25">
      <c r="B4" s="175"/>
      <c r="C4" s="233"/>
      <c r="D4" s="233"/>
      <c r="E4" s="233"/>
      <c r="F4" s="233"/>
      <c r="G4" s="233"/>
      <c r="H4" s="378"/>
      <c r="I4" s="962" t="s">
        <v>285</v>
      </c>
      <c r="J4" s="962"/>
    </row>
    <row r="5" spans="2:21" ht="15.75" x14ac:dyDescent="0.25">
      <c r="B5" s="174"/>
      <c r="C5" s="292"/>
      <c r="D5" s="292"/>
      <c r="E5" s="292"/>
      <c r="F5" s="292"/>
      <c r="G5" s="292"/>
      <c r="H5" s="379"/>
      <c r="I5" s="292"/>
      <c r="J5" s="292"/>
    </row>
    <row r="6" spans="2:21" x14ac:dyDescent="0.2">
      <c r="B6" s="983"/>
      <c r="C6" s="968" t="s">
        <v>66</v>
      </c>
      <c r="D6" s="986" t="s">
        <v>2</v>
      </c>
      <c r="E6" s="987"/>
      <c r="F6" s="987"/>
      <c r="G6" s="987"/>
      <c r="H6" s="987"/>
      <c r="I6" s="987"/>
      <c r="J6" s="988"/>
    </row>
    <row r="7" spans="2:21" x14ac:dyDescent="0.2">
      <c r="B7" s="984"/>
      <c r="C7" s="969"/>
      <c r="D7" s="968" t="s">
        <v>143</v>
      </c>
      <c r="E7" s="968" t="s">
        <v>68</v>
      </c>
      <c r="F7" s="968" t="s">
        <v>69</v>
      </c>
      <c r="G7" s="968" t="s">
        <v>70</v>
      </c>
      <c r="H7" s="998" t="s">
        <v>222</v>
      </c>
      <c r="I7" s="968" t="s">
        <v>144</v>
      </c>
      <c r="J7" s="968" t="s">
        <v>269</v>
      </c>
    </row>
    <row r="8" spans="2:21" x14ac:dyDescent="0.2">
      <c r="B8" s="984"/>
      <c r="C8" s="969"/>
      <c r="D8" s="969"/>
      <c r="E8" s="969"/>
      <c r="F8" s="969"/>
      <c r="G8" s="969"/>
      <c r="H8" s="969"/>
      <c r="I8" s="969"/>
      <c r="J8" s="969"/>
    </row>
    <row r="9" spans="2:21" ht="19.5" customHeight="1" x14ac:dyDescent="0.2">
      <c r="B9" s="985"/>
      <c r="C9" s="970"/>
      <c r="D9" s="970"/>
      <c r="E9" s="970"/>
      <c r="F9" s="970"/>
      <c r="G9" s="970"/>
      <c r="H9" s="970"/>
      <c r="I9" s="970"/>
      <c r="J9" s="970"/>
    </row>
    <row r="10" spans="2:21" x14ac:dyDescent="0.2">
      <c r="B10" s="261">
        <v>1</v>
      </c>
      <c r="C10" s="262">
        <v>2</v>
      </c>
      <c r="D10" s="262">
        <v>3</v>
      </c>
      <c r="E10" s="293">
        <v>4</v>
      </c>
      <c r="F10" s="293">
        <v>5</v>
      </c>
      <c r="G10" s="293">
        <v>6</v>
      </c>
      <c r="H10" s="380">
        <v>7</v>
      </c>
      <c r="I10" s="262">
        <v>8</v>
      </c>
      <c r="J10" s="265">
        <v>9</v>
      </c>
    </row>
    <row r="11" spans="2:21" ht="12.75" customHeight="1" x14ac:dyDescent="0.2">
      <c r="B11" s="267" t="s">
        <v>230</v>
      </c>
      <c r="C11" s="294">
        <v>1</v>
      </c>
      <c r="D11" s="295">
        <v>22113</v>
      </c>
      <c r="E11" s="294">
        <v>1650</v>
      </c>
      <c r="F11" s="295">
        <v>1553</v>
      </c>
      <c r="G11" s="294">
        <v>8250</v>
      </c>
      <c r="H11" s="381">
        <v>2</v>
      </c>
      <c r="I11" s="294">
        <v>44</v>
      </c>
      <c r="J11" s="294">
        <v>44</v>
      </c>
    </row>
    <row r="12" spans="2:21" ht="13.5" customHeight="1" x14ac:dyDescent="0.2">
      <c r="B12" s="273" t="s">
        <v>231</v>
      </c>
      <c r="C12" s="296">
        <v>1</v>
      </c>
      <c r="D12" s="297">
        <v>86050</v>
      </c>
      <c r="E12" s="296">
        <v>5118</v>
      </c>
      <c r="F12" s="297">
        <v>46335</v>
      </c>
      <c r="G12" s="296">
        <v>88327</v>
      </c>
      <c r="H12" s="382">
        <v>8</v>
      </c>
      <c r="I12" s="296">
        <v>67</v>
      </c>
      <c r="J12" s="296">
        <v>50</v>
      </c>
      <c r="U12" s="131"/>
    </row>
    <row r="13" spans="2:21" ht="12.75" customHeight="1" x14ac:dyDescent="0.2">
      <c r="B13" s="273" t="s">
        <v>232</v>
      </c>
      <c r="C13" s="296">
        <v>1</v>
      </c>
      <c r="D13" s="297">
        <v>18935</v>
      </c>
      <c r="E13" s="296">
        <v>459</v>
      </c>
      <c r="F13" s="297">
        <v>2618</v>
      </c>
      <c r="G13" s="296">
        <v>4675</v>
      </c>
      <c r="H13" s="382">
        <v>2</v>
      </c>
      <c r="I13" s="296">
        <v>23</v>
      </c>
      <c r="J13" s="296">
        <v>23</v>
      </c>
      <c r="U13" s="131"/>
    </row>
    <row r="14" spans="2:21" ht="12.75" customHeight="1" x14ac:dyDescent="0.2">
      <c r="B14" s="386" t="s">
        <v>233</v>
      </c>
      <c r="C14" s="296">
        <v>1</v>
      </c>
      <c r="D14" s="297">
        <v>44647</v>
      </c>
      <c r="E14" s="296">
        <v>204</v>
      </c>
      <c r="F14" s="297">
        <v>532</v>
      </c>
      <c r="G14" s="296">
        <v>725</v>
      </c>
      <c r="H14" s="382">
        <v>1</v>
      </c>
      <c r="I14" s="296">
        <v>37</v>
      </c>
      <c r="J14" s="296">
        <v>37</v>
      </c>
      <c r="U14" s="131"/>
    </row>
    <row r="15" spans="2:21" ht="13.5" customHeight="1" x14ac:dyDescent="0.2">
      <c r="B15" s="273" t="s">
        <v>271</v>
      </c>
      <c r="C15" s="296">
        <v>1</v>
      </c>
      <c r="D15" s="297">
        <v>102901</v>
      </c>
      <c r="E15" s="296">
        <v>2745</v>
      </c>
      <c r="F15" s="297">
        <v>26225</v>
      </c>
      <c r="G15" s="296">
        <v>49654</v>
      </c>
      <c r="H15" s="382">
        <v>8</v>
      </c>
      <c r="I15" s="296">
        <v>106</v>
      </c>
      <c r="J15" s="296">
        <v>106</v>
      </c>
    </row>
    <row r="16" spans="2:21" ht="13.5" customHeight="1" x14ac:dyDescent="0.2">
      <c r="B16" s="273" t="s">
        <v>239</v>
      </c>
      <c r="C16" s="296">
        <v>1</v>
      </c>
      <c r="D16" s="297">
        <v>30344</v>
      </c>
      <c r="E16" s="296">
        <v>1059</v>
      </c>
      <c r="F16" s="297">
        <v>7043</v>
      </c>
      <c r="G16" s="296">
        <v>15000</v>
      </c>
      <c r="H16" s="382">
        <v>2</v>
      </c>
      <c r="I16" s="296">
        <v>23</v>
      </c>
      <c r="J16" s="296">
        <v>23</v>
      </c>
    </row>
    <row r="17" spans="2:10" ht="12.75" customHeight="1" x14ac:dyDescent="0.2">
      <c r="B17" s="273" t="s">
        <v>234</v>
      </c>
      <c r="C17" s="296">
        <v>1</v>
      </c>
      <c r="D17" s="297">
        <v>24798</v>
      </c>
      <c r="E17" s="296">
        <v>356</v>
      </c>
      <c r="F17" s="297">
        <v>4717</v>
      </c>
      <c r="G17" s="296">
        <v>2873</v>
      </c>
      <c r="H17" s="382">
        <v>3</v>
      </c>
      <c r="I17" s="296">
        <v>19</v>
      </c>
      <c r="J17" s="296">
        <v>19</v>
      </c>
    </row>
    <row r="18" spans="2:10" ht="12.75" customHeight="1" x14ac:dyDescent="0.2">
      <c r="B18" s="273" t="s">
        <v>235</v>
      </c>
      <c r="C18" s="296">
        <v>1</v>
      </c>
      <c r="D18" s="297">
        <v>59272</v>
      </c>
      <c r="E18" s="296">
        <v>1199</v>
      </c>
      <c r="F18" s="297">
        <v>23056</v>
      </c>
      <c r="G18" s="296">
        <v>19800</v>
      </c>
      <c r="H18" s="382">
        <v>4</v>
      </c>
      <c r="I18" s="296">
        <v>36</v>
      </c>
      <c r="J18" s="296">
        <v>36</v>
      </c>
    </row>
    <row r="19" spans="2:10" ht="13.5" customHeight="1" x14ac:dyDescent="0.2">
      <c r="B19" s="273" t="s">
        <v>270</v>
      </c>
      <c r="C19" s="296">
        <v>1</v>
      </c>
      <c r="D19" s="297">
        <v>49925</v>
      </c>
      <c r="E19" s="296">
        <v>1886</v>
      </c>
      <c r="F19" s="297">
        <v>16478</v>
      </c>
      <c r="G19" s="296">
        <v>13185</v>
      </c>
      <c r="H19" s="382">
        <v>2</v>
      </c>
      <c r="I19" s="296">
        <v>37</v>
      </c>
      <c r="J19" s="296">
        <v>37</v>
      </c>
    </row>
    <row r="20" spans="2:10" ht="13.5" customHeight="1" x14ac:dyDescent="0.2">
      <c r="B20" s="273" t="s">
        <v>236</v>
      </c>
      <c r="C20" s="296">
        <v>1</v>
      </c>
      <c r="D20" s="297">
        <v>72360</v>
      </c>
      <c r="E20" s="296">
        <v>1848</v>
      </c>
      <c r="F20" s="297">
        <v>2852</v>
      </c>
      <c r="G20" s="296">
        <v>3348</v>
      </c>
      <c r="H20" s="382">
        <v>2</v>
      </c>
      <c r="I20" s="296">
        <v>10</v>
      </c>
      <c r="J20" s="296">
        <v>10</v>
      </c>
    </row>
    <row r="21" spans="2:10" ht="13.5" customHeight="1" x14ac:dyDescent="0.2">
      <c r="B21" s="273" t="s">
        <v>237</v>
      </c>
      <c r="C21" s="296">
        <v>1</v>
      </c>
      <c r="D21" s="297">
        <v>139966</v>
      </c>
      <c r="E21" s="296">
        <v>7763</v>
      </c>
      <c r="F21" s="297">
        <v>84703</v>
      </c>
      <c r="G21" s="296">
        <v>40724</v>
      </c>
      <c r="H21" s="382">
        <v>19</v>
      </c>
      <c r="I21" s="296">
        <v>85</v>
      </c>
      <c r="J21" s="296">
        <v>85</v>
      </c>
    </row>
    <row r="22" spans="2:10" ht="14.25" customHeight="1" x14ac:dyDescent="0.2">
      <c r="B22" s="284" t="s">
        <v>238</v>
      </c>
      <c r="C22" s="298">
        <v>1</v>
      </c>
      <c r="D22" s="299">
        <v>143817</v>
      </c>
      <c r="E22" s="298">
        <v>2108</v>
      </c>
      <c r="F22" s="299">
        <v>8579</v>
      </c>
      <c r="G22" s="298">
        <v>20100</v>
      </c>
      <c r="H22" s="383">
        <v>6</v>
      </c>
      <c r="I22" s="298">
        <v>56</v>
      </c>
      <c r="J22" s="298">
        <v>56</v>
      </c>
    </row>
    <row r="23" spans="2:10" ht="15.95" customHeight="1" x14ac:dyDescent="0.2">
      <c r="B23" s="252" t="s">
        <v>22</v>
      </c>
      <c r="C23" s="246">
        <f t="shared" ref="C23:J23" si="0">SUM(C11:C22)</f>
        <v>12</v>
      </c>
      <c r="D23" s="246">
        <f>SUM(D11:D22)</f>
        <v>795128</v>
      </c>
      <c r="E23" s="246">
        <f t="shared" si="0"/>
        <v>26395</v>
      </c>
      <c r="F23" s="246">
        <f t="shared" si="0"/>
        <v>224691</v>
      </c>
      <c r="G23" s="246">
        <f t="shared" si="0"/>
        <v>266661</v>
      </c>
      <c r="H23" s="246">
        <f t="shared" si="0"/>
        <v>59</v>
      </c>
      <c r="I23" s="246">
        <f t="shared" si="0"/>
        <v>543</v>
      </c>
      <c r="J23" s="246">
        <f t="shared" si="0"/>
        <v>526</v>
      </c>
    </row>
    <row r="24" spans="2:10" ht="13.5" customHeight="1" x14ac:dyDescent="0.2">
      <c r="B24" s="243" t="s">
        <v>280</v>
      </c>
      <c r="C24" s="243">
        <v>12</v>
      </c>
      <c r="D24" s="243">
        <v>812483</v>
      </c>
      <c r="E24" s="243">
        <v>28647</v>
      </c>
      <c r="F24" s="243">
        <v>289677</v>
      </c>
      <c r="G24" s="243">
        <v>206578</v>
      </c>
      <c r="H24" s="384">
        <v>64</v>
      </c>
      <c r="I24" s="243">
        <v>469</v>
      </c>
      <c r="J24" s="243">
        <v>463</v>
      </c>
    </row>
    <row r="25" spans="2:10" ht="13.5" customHeight="1" x14ac:dyDescent="0.2">
      <c r="B25" s="243" t="s">
        <v>76</v>
      </c>
      <c r="C25" s="385">
        <f>SUM(C23-C24)</f>
        <v>0</v>
      </c>
      <c r="D25" s="300">
        <f>D23-D24</f>
        <v>-17355</v>
      </c>
      <c r="E25" s="300">
        <f t="shared" ref="E25:J25" si="1">E23-E24</f>
        <v>-2252</v>
      </c>
      <c r="F25" s="300">
        <f t="shared" si="1"/>
        <v>-64986</v>
      </c>
      <c r="G25" s="300">
        <f t="shared" si="1"/>
        <v>60083</v>
      </c>
      <c r="H25" s="317">
        <f t="shared" si="1"/>
        <v>-5</v>
      </c>
      <c r="I25" s="300">
        <f t="shared" si="1"/>
        <v>74</v>
      </c>
      <c r="J25" s="300">
        <f t="shared" si="1"/>
        <v>63</v>
      </c>
    </row>
    <row r="26" spans="2:10" ht="15.95" customHeight="1" x14ac:dyDescent="0.2">
      <c r="B26" s="256"/>
      <c r="C26" s="230"/>
      <c r="D26" s="230"/>
      <c r="E26" s="230"/>
      <c r="F26" s="230"/>
      <c r="G26" s="230"/>
      <c r="H26" s="378"/>
      <c r="I26" s="230"/>
      <c r="J26" s="230"/>
    </row>
    <row r="27" spans="2:10" ht="15.95" customHeight="1" x14ac:dyDescent="0.2">
      <c r="B27" s="256"/>
      <c r="C27" s="230"/>
      <c r="D27" s="230"/>
      <c r="E27" s="230"/>
      <c r="F27" s="230"/>
      <c r="G27" s="230"/>
      <c r="H27" s="378"/>
      <c r="I27" s="230"/>
      <c r="J27" s="230"/>
    </row>
    <row r="28" spans="2:10" ht="15.95" customHeight="1" x14ac:dyDescent="0.2">
      <c r="B28" s="256"/>
      <c r="C28" s="230"/>
      <c r="D28" s="230"/>
      <c r="E28" s="230"/>
      <c r="F28" s="230"/>
      <c r="G28" s="230"/>
      <c r="H28" s="378"/>
      <c r="I28" s="230"/>
      <c r="J28" s="230"/>
    </row>
    <row r="29" spans="2:10" ht="15.95" customHeight="1" x14ac:dyDescent="0.2">
      <c r="B29" s="256"/>
      <c r="C29" s="230"/>
      <c r="D29" s="230"/>
      <c r="E29" s="230"/>
      <c r="F29" s="230"/>
      <c r="G29" s="230"/>
      <c r="H29" s="378"/>
      <c r="I29" s="230"/>
      <c r="J29" s="230"/>
    </row>
    <row r="30" spans="2:10" ht="15.95" customHeight="1" x14ac:dyDescent="0.2"/>
    <row r="31" spans="2:10" ht="15.95" customHeight="1" x14ac:dyDescent="0.2"/>
  </sheetData>
  <mergeCells count="13">
    <mergeCell ref="H7:H9"/>
    <mergeCell ref="I7:I9"/>
    <mergeCell ref="J7:J9"/>
    <mergeCell ref="B2:J2"/>
    <mergeCell ref="C3:G3"/>
    <mergeCell ref="I4:J4"/>
    <mergeCell ref="B6:B9"/>
    <mergeCell ref="C6:C9"/>
    <mergeCell ref="D6:J6"/>
    <mergeCell ref="D7:D9"/>
    <mergeCell ref="E7:E9"/>
    <mergeCell ref="F7:F9"/>
    <mergeCell ref="G7:G9"/>
  </mergeCells>
  <pageMargins left="1" right="0.75" top="1" bottom="1" header="0.5" footer="0.5"/>
  <pageSetup paperSize="9" scale="76" orientation="portrait" r:id="rId1"/>
  <headerFooter alignWithMargins="0"/>
  <ignoredErrors>
    <ignoredError sqref="C23:J2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39"/>
  <sheetViews>
    <sheetView topLeftCell="A7" zoomScale="106" zoomScaleNormal="106" workbookViewId="0">
      <selection activeCell="C33" sqref="C33:J33"/>
    </sheetView>
  </sheetViews>
  <sheetFormatPr defaultColWidth="9.140625" defaultRowHeight="12.75" x14ac:dyDescent="0.2"/>
  <cols>
    <col min="1" max="1" width="8" style="162" customWidth="1"/>
    <col min="2" max="2" width="31.28515625" style="162" customWidth="1"/>
    <col min="3" max="3" width="7.5703125" style="162" customWidth="1"/>
    <col min="4" max="4" width="9.140625" style="162" customWidth="1"/>
    <col min="5" max="5" width="7.140625" style="162" customWidth="1"/>
    <col min="6" max="6" width="8.42578125" style="162" customWidth="1"/>
    <col min="7" max="7" width="10.42578125" style="162" customWidth="1"/>
    <col min="8" max="8" width="10.85546875" style="162" customWidth="1"/>
    <col min="9" max="9" width="9.42578125" style="162" customWidth="1"/>
    <col min="10" max="10" width="9" style="162" customWidth="1"/>
    <col min="11" max="16384" width="9.140625" style="162"/>
  </cols>
  <sheetData>
    <row r="2" spans="2:21" ht="17.25" customHeight="1" x14ac:dyDescent="0.2">
      <c r="B2" s="981" t="s">
        <v>147</v>
      </c>
      <c r="C2" s="981"/>
      <c r="D2" s="981"/>
      <c r="E2" s="981"/>
      <c r="F2" s="981"/>
      <c r="G2" s="981"/>
      <c r="H2" s="981"/>
      <c r="I2" s="981"/>
      <c r="J2" s="981"/>
    </row>
    <row r="3" spans="2:21" ht="17.25" customHeight="1" x14ac:dyDescent="0.2">
      <c r="B3" s="981"/>
      <c r="C3" s="981"/>
      <c r="D3" s="981"/>
      <c r="E3" s="981"/>
      <c r="F3" s="981"/>
      <c r="G3" s="981"/>
      <c r="H3" s="981"/>
      <c r="I3" s="981"/>
      <c r="J3" s="981"/>
    </row>
    <row r="5" spans="2:21" ht="15" x14ac:dyDescent="0.2">
      <c r="I5" s="982" t="s">
        <v>285</v>
      </c>
      <c r="J5" s="982"/>
    </row>
    <row r="7" spans="2:21" x14ac:dyDescent="0.2">
      <c r="B7" s="983" t="s">
        <v>251</v>
      </c>
      <c r="C7" s="968" t="s">
        <v>66</v>
      </c>
      <c r="D7" s="986" t="s">
        <v>2</v>
      </c>
      <c r="E7" s="987"/>
      <c r="F7" s="987"/>
      <c r="G7" s="987"/>
      <c r="H7" s="987"/>
      <c r="I7" s="987"/>
      <c r="J7" s="988"/>
    </row>
    <row r="8" spans="2:21" x14ac:dyDescent="0.2">
      <c r="B8" s="984"/>
      <c r="C8" s="969"/>
      <c r="D8" s="968" t="s">
        <v>143</v>
      </c>
      <c r="E8" s="968" t="s">
        <v>68</v>
      </c>
      <c r="F8" s="968" t="s">
        <v>69</v>
      </c>
      <c r="G8" s="968" t="s">
        <v>70</v>
      </c>
      <c r="H8" s="968" t="s">
        <v>222</v>
      </c>
      <c r="I8" s="968" t="s">
        <v>144</v>
      </c>
      <c r="J8" s="968" t="s">
        <v>269</v>
      </c>
    </row>
    <row r="9" spans="2:21" x14ac:dyDescent="0.2">
      <c r="B9" s="984"/>
      <c r="C9" s="969"/>
      <c r="D9" s="969"/>
      <c r="E9" s="969"/>
      <c r="F9" s="969"/>
      <c r="G9" s="969"/>
      <c r="H9" s="969"/>
      <c r="I9" s="969"/>
      <c r="J9" s="969"/>
    </row>
    <row r="10" spans="2:21" ht="19.5" customHeight="1" x14ac:dyDescent="0.2">
      <c r="B10" s="985"/>
      <c r="C10" s="970"/>
      <c r="D10" s="970"/>
      <c r="E10" s="970"/>
      <c r="F10" s="970"/>
      <c r="G10" s="970"/>
      <c r="H10" s="970"/>
      <c r="I10" s="970"/>
      <c r="J10" s="970"/>
    </row>
    <row r="11" spans="2:21" ht="12" customHeight="1" x14ac:dyDescent="0.2">
      <c r="B11" s="261">
        <v>1</v>
      </c>
      <c r="C11" s="262">
        <v>2</v>
      </c>
      <c r="D11" s="262">
        <v>3</v>
      </c>
      <c r="E11" s="293">
        <v>4</v>
      </c>
      <c r="F11" s="293">
        <v>5</v>
      </c>
      <c r="G11" s="293">
        <v>6</v>
      </c>
      <c r="H11" s="262">
        <v>7</v>
      </c>
      <c r="I11" s="262">
        <v>8</v>
      </c>
      <c r="J11" s="265">
        <v>9</v>
      </c>
    </row>
    <row r="12" spans="2:21" ht="15.95" customHeight="1" x14ac:dyDescent="0.2">
      <c r="B12" s="301" t="s">
        <v>250</v>
      </c>
      <c r="C12" s="302">
        <v>1</v>
      </c>
      <c r="D12" s="303">
        <v>46122</v>
      </c>
      <c r="E12" s="302">
        <v>1154</v>
      </c>
      <c r="F12" s="303">
        <v>8478</v>
      </c>
      <c r="G12" s="302">
        <v>18336</v>
      </c>
      <c r="H12" s="303">
        <v>2</v>
      </c>
      <c r="I12" s="302">
        <v>10</v>
      </c>
      <c r="J12" s="304">
        <v>10</v>
      </c>
      <c r="U12" s="131"/>
    </row>
    <row r="13" spans="2:21" ht="24" customHeight="1" x14ac:dyDescent="0.2">
      <c r="B13" s="305" t="s">
        <v>273</v>
      </c>
      <c r="C13" s="274">
        <v>1</v>
      </c>
      <c r="D13" s="282">
        <v>26837</v>
      </c>
      <c r="E13" s="274">
        <v>0</v>
      </c>
      <c r="F13" s="282">
        <v>0</v>
      </c>
      <c r="G13" s="274">
        <v>0</v>
      </c>
      <c r="H13" s="282">
        <v>0</v>
      </c>
      <c r="I13" s="274">
        <v>0</v>
      </c>
      <c r="J13" s="306">
        <v>0</v>
      </c>
      <c r="U13" s="131"/>
    </row>
    <row r="14" spans="2:21" ht="15" customHeight="1" x14ac:dyDescent="0.2">
      <c r="B14" s="273" t="s">
        <v>241</v>
      </c>
      <c r="C14" s="274">
        <v>1</v>
      </c>
      <c r="D14" s="282">
        <v>17165</v>
      </c>
      <c r="E14" s="274">
        <v>2590</v>
      </c>
      <c r="F14" s="282">
        <v>22851</v>
      </c>
      <c r="G14" s="274">
        <v>13439</v>
      </c>
      <c r="H14" s="282">
        <v>5</v>
      </c>
      <c r="I14" s="274">
        <v>51</v>
      </c>
      <c r="J14" s="306">
        <v>51</v>
      </c>
      <c r="U14" s="131"/>
    </row>
    <row r="15" spans="2:21" ht="14.25" customHeight="1" x14ac:dyDescent="0.2">
      <c r="B15" s="305" t="s">
        <v>240</v>
      </c>
      <c r="C15" s="274">
        <v>1</v>
      </c>
      <c r="D15" s="282">
        <v>19765</v>
      </c>
      <c r="E15" s="274">
        <v>0</v>
      </c>
      <c r="F15" s="282">
        <v>0</v>
      </c>
      <c r="G15" s="274">
        <v>0</v>
      </c>
      <c r="H15" s="282">
        <v>0</v>
      </c>
      <c r="I15" s="274">
        <v>0</v>
      </c>
      <c r="J15" s="306">
        <v>0</v>
      </c>
    </row>
    <row r="16" spans="2:21" ht="14.25" customHeight="1" x14ac:dyDescent="0.2">
      <c r="B16" s="307" t="s">
        <v>249</v>
      </c>
      <c r="C16" s="285">
        <v>1</v>
      </c>
      <c r="D16" s="289">
        <v>61982</v>
      </c>
      <c r="E16" s="285">
        <v>111</v>
      </c>
      <c r="F16" s="289">
        <v>1229</v>
      </c>
      <c r="G16" s="285">
        <v>0</v>
      </c>
      <c r="H16" s="289">
        <v>1</v>
      </c>
      <c r="I16" s="285">
        <v>4</v>
      </c>
      <c r="J16" s="553">
        <v>4</v>
      </c>
    </row>
    <row r="17" spans="2:10" ht="15.95" customHeight="1" x14ac:dyDescent="0.2">
      <c r="B17" s="252" t="s">
        <v>22</v>
      </c>
      <c r="C17" s="308">
        <f>SUM(C12:C16)</f>
        <v>5</v>
      </c>
      <c r="D17" s="308">
        <f t="shared" ref="D17:J17" si="0">SUM(D12:D16)</f>
        <v>171871</v>
      </c>
      <c r="E17" s="308">
        <f t="shared" si="0"/>
        <v>3855</v>
      </c>
      <c r="F17" s="308">
        <f t="shared" si="0"/>
        <v>32558</v>
      </c>
      <c r="G17" s="308">
        <f t="shared" si="0"/>
        <v>31775</v>
      </c>
      <c r="H17" s="308">
        <f t="shared" si="0"/>
        <v>8</v>
      </c>
      <c r="I17" s="308">
        <f t="shared" si="0"/>
        <v>65</v>
      </c>
      <c r="J17" s="308">
        <f t="shared" si="0"/>
        <v>65</v>
      </c>
    </row>
    <row r="18" spans="2:10" ht="15.95" customHeight="1" x14ac:dyDescent="0.2">
      <c r="B18" s="243" t="s">
        <v>280</v>
      </c>
      <c r="C18" s="309">
        <v>5</v>
      </c>
      <c r="D18" s="309">
        <v>170508</v>
      </c>
      <c r="E18" s="309">
        <v>3927</v>
      </c>
      <c r="F18" s="309">
        <v>27832</v>
      </c>
      <c r="G18" s="309">
        <v>28418</v>
      </c>
      <c r="H18" s="309">
        <v>12</v>
      </c>
      <c r="I18" s="309">
        <v>67</v>
      </c>
      <c r="J18" s="309">
        <v>59</v>
      </c>
    </row>
    <row r="19" spans="2:10" ht="15.95" customHeight="1" x14ac:dyDescent="0.2">
      <c r="B19" s="243" t="s">
        <v>123</v>
      </c>
      <c r="C19" s="310">
        <f t="shared" ref="C19:J19" si="1">SUM(C17-C18)</f>
        <v>0</v>
      </c>
      <c r="D19" s="310">
        <f t="shared" si="1"/>
        <v>1363</v>
      </c>
      <c r="E19" s="310">
        <f t="shared" si="1"/>
        <v>-72</v>
      </c>
      <c r="F19" s="310">
        <f t="shared" si="1"/>
        <v>4726</v>
      </c>
      <c r="G19" s="310">
        <f t="shared" si="1"/>
        <v>3357</v>
      </c>
      <c r="H19" s="310">
        <f t="shared" si="1"/>
        <v>-4</v>
      </c>
      <c r="I19" s="310">
        <f t="shared" si="1"/>
        <v>-2</v>
      </c>
      <c r="J19" s="310">
        <f t="shared" si="1"/>
        <v>6</v>
      </c>
    </row>
    <row r="20" spans="2:10" ht="15.95" customHeight="1" x14ac:dyDescent="0.2">
      <c r="B20" s="311"/>
      <c r="C20" s="312"/>
      <c r="D20" s="989"/>
      <c r="E20" s="989"/>
      <c r="F20" s="989"/>
      <c r="G20" s="989"/>
      <c r="H20" s="989"/>
      <c r="I20" s="989"/>
      <c r="J20" s="990"/>
    </row>
    <row r="21" spans="2:10" ht="15.95" customHeight="1" x14ac:dyDescent="0.2">
      <c r="B21" s="983" t="s">
        <v>252</v>
      </c>
      <c r="C21" s="968" t="s">
        <v>66</v>
      </c>
      <c r="D21" s="986" t="s">
        <v>2</v>
      </c>
      <c r="E21" s="987"/>
      <c r="F21" s="987"/>
      <c r="G21" s="987"/>
      <c r="H21" s="987"/>
      <c r="I21" s="987"/>
      <c r="J21" s="988"/>
    </row>
    <row r="22" spans="2:10" ht="15.95" customHeight="1" x14ac:dyDescent="0.2">
      <c r="B22" s="984"/>
      <c r="C22" s="969"/>
      <c r="D22" s="968" t="s">
        <v>143</v>
      </c>
      <c r="E22" s="968" t="s">
        <v>68</v>
      </c>
      <c r="F22" s="968" t="s">
        <v>69</v>
      </c>
      <c r="G22" s="968" t="s">
        <v>70</v>
      </c>
      <c r="H22" s="968" t="s">
        <v>222</v>
      </c>
      <c r="I22" s="968" t="s">
        <v>144</v>
      </c>
      <c r="J22" s="968" t="s">
        <v>269</v>
      </c>
    </row>
    <row r="23" spans="2:10" ht="15.95" customHeight="1" x14ac:dyDescent="0.2">
      <c r="B23" s="984"/>
      <c r="C23" s="969"/>
      <c r="D23" s="969"/>
      <c r="E23" s="969"/>
      <c r="F23" s="969"/>
      <c r="G23" s="969"/>
      <c r="H23" s="969"/>
      <c r="I23" s="969"/>
      <c r="J23" s="969"/>
    </row>
    <row r="24" spans="2:10" x14ac:dyDescent="0.2">
      <c r="B24" s="985"/>
      <c r="C24" s="970"/>
      <c r="D24" s="970"/>
      <c r="E24" s="970"/>
      <c r="F24" s="970"/>
      <c r="G24" s="970"/>
      <c r="H24" s="970"/>
      <c r="I24" s="970"/>
      <c r="J24" s="970"/>
    </row>
    <row r="25" spans="2:10" x14ac:dyDescent="0.2">
      <c r="B25" s="261">
        <v>1</v>
      </c>
      <c r="C25" s="262">
        <v>2</v>
      </c>
      <c r="D25" s="262">
        <v>3</v>
      </c>
      <c r="E25" s="293">
        <v>4</v>
      </c>
      <c r="F25" s="293">
        <v>5</v>
      </c>
      <c r="G25" s="293">
        <v>6</v>
      </c>
      <c r="H25" s="262">
        <v>7</v>
      </c>
      <c r="I25" s="262">
        <v>8</v>
      </c>
      <c r="J25" s="265">
        <v>9</v>
      </c>
    </row>
    <row r="26" spans="2:10" x14ac:dyDescent="0.2">
      <c r="B26" s="267" t="s">
        <v>242</v>
      </c>
      <c r="C26" s="294">
        <v>1</v>
      </c>
      <c r="D26" s="295">
        <v>3790</v>
      </c>
      <c r="E26" s="294">
        <v>321</v>
      </c>
      <c r="F26" s="295">
        <v>130</v>
      </c>
      <c r="G26" s="294">
        <v>1300</v>
      </c>
      <c r="H26" s="295">
        <v>1</v>
      </c>
      <c r="I26" s="294">
        <v>3</v>
      </c>
      <c r="J26" s="313">
        <v>3</v>
      </c>
    </row>
    <row r="27" spans="2:10" x14ac:dyDescent="0.2">
      <c r="B27" s="273" t="s">
        <v>243</v>
      </c>
      <c r="C27" s="296">
        <v>1</v>
      </c>
      <c r="D27" s="297">
        <v>14486</v>
      </c>
      <c r="E27" s="296">
        <v>778</v>
      </c>
      <c r="F27" s="297">
        <v>1360</v>
      </c>
      <c r="G27" s="296">
        <v>226</v>
      </c>
      <c r="H27" s="297">
        <v>1</v>
      </c>
      <c r="I27" s="296">
        <v>22</v>
      </c>
      <c r="J27" s="314">
        <v>22</v>
      </c>
    </row>
    <row r="28" spans="2:10" x14ac:dyDescent="0.2">
      <c r="B28" s="273" t="s">
        <v>244</v>
      </c>
      <c r="C28" s="296">
        <v>1</v>
      </c>
      <c r="D28" s="297">
        <v>32829</v>
      </c>
      <c r="E28" s="296">
        <v>1754</v>
      </c>
      <c r="F28" s="297">
        <v>1970</v>
      </c>
      <c r="G28" s="296">
        <v>6321</v>
      </c>
      <c r="H28" s="297">
        <v>3</v>
      </c>
      <c r="I28" s="296">
        <v>17</v>
      </c>
      <c r="J28" s="314">
        <v>17</v>
      </c>
    </row>
    <row r="29" spans="2:10" x14ac:dyDescent="0.2">
      <c r="B29" s="273" t="s">
        <v>248</v>
      </c>
      <c r="C29" s="296">
        <v>0</v>
      </c>
      <c r="D29" s="297">
        <v>0</v>
      </c>
      <c r="E29" s="296">
        <v>0</v>
      </c>
      <c r="F29" s="297">
        <v>0</v>
      </c>
      <c r="G29" s="296">
        <v>0</v>
      </c>
      <c r="H29" s="297">
        <v>0</v>
      </c>
      <c r="I29" s="296">
        <v>0</v>
      </c>
      <c r="J29" s="314">
        <v>0</v>
      </c>
    </row>
    <row r="30" spans="2:10" x14ac:dyDescent="0.2">
      <c r="B30" s="273" t="s">
        <v>245</v>
      </c>
      <c r="C30" s="296">
        <v>1</v>
      </c>
      <c r="D30" s="297">
        <v>4495</v>
      </c>
      <c r="E30" s="296">
        <v>100</v>
      </c>
      <c r="F30" s="297">
        <v>177</v>
      </c>
      <c r="G30" s="296">
        <v>158</v>
      </c>
      <c r="H30" s="297">
        <v>1</v>
      </c>
      <c r="I30" s="296">
        <v>12</v>
      </c>
      <c r="J30" s="314">
        <v>12</v>
      </c>
    </row>
    <row r="31" spans="2:10" x14ac:dyDescent="0.2">
      <c r="B31" s="273" t="s">
        <v>246</v>
      </c>
      <c r="C31" s="296">
        <v>1</v>
      </c>
      <c r="D31" s="297">
        <v>7689</v>
      </c>
      <c r="E31" s="296">
        <v>429</v>
      </c>
      <c r="F31" s="297">
        <v>479</v>
      </c>
      <c r="G31" s="296">
        <v>2406</v>
      </c>
      <c r="H31" s="297">
        <v>2</v>
      </c>
      <c r="I31" s="296">
        <v>5</v>
      </c>
      <c r="J31" s="314">
        <v>5</v>
      </c>
    </row>
    <row r="32" spans="2:10" x14ac:dyDescent="0.2">
      <c r="B32" s="273" t="s">
        <v>247</v>
      </c>
      <c r="C32" s="296">
        <v>1</v>
      </c>
      <c r="D32" s="296">
        <v>1282</v>
      </c>
      <c r="E32" s="296">
        <v>600</v>
      </c>
      <c r="F32" s="297">
        <v>680</v>
      </c>
      <c r="G32" s="296">
        <v>432</v>
      </c>
      <c r="H32" s="297">
        <v>1</v>
      </c>
      <c r="I32" s="296">
        <v>12</v>
      </c>
      <c r="J32" s="314">
        <v>12</v>
      </c>
    </row>
    <row r="33" spans="2:10" x14ac:dyDescent="0.2">
      <c r="B33" s="252" t="s">
        <v>22</v>
      </c>
      <c r="C33" s="252">
        <f t="shared" ref="C33:J33" si="2">SUM(C26:C32)</f>
        <v>6</v>
      </c>
      <c r="D33" s="252">
        <f t="shared" si="2"/>
        <v>64571</v>
      </c>
      <c r="E33" s="252">
        <f t="shared" si="2"/>
        <v>3982</v>
      </c>
      <c r="F33" s="252">
        <f t="shared" si="2"/>
        <v>4796</v>
      </c>
      <c r="G33" s="252">
        <f t="shared" si="2"/>
        <v>10843</v>
      </c>
      <c r="H33" s="252">
        <f t="shared" si="2"/>
        <v>9</v>
      </c>
      <c r="I33" s="252">
        <f t="shared" si="2"/>
        <v>71</v>
      </c>
      <c r="J33" s="252">
        <f t="shared" si="2"/>
        <v>71</v>
      </c>
    </row>
    <row r="34" spans="2:10" x14ac:dyDescent="0.2">
      <c r="B34" s="243" t="s">
        <v>280</v>
      </c>
      <c r="C34" s="243">
        <v>7</v>
      </c>
      <c r="D34" s="243">
        <v>88792</v>
      </c>
      <c r="E34" s="243">
        <v>6454</v>
      </c>
      <c r="F34" s="243">
        <v>6355</v>
      </c>
      <c r="G34" s="243">
        <v>4790</v>
      </c>
      <c r="H34" s="243">
        <v>10</v>
      </c>
      <c r="I34" s="243">
        <v>110</v>
      </c>
      <c r="J34" s="243">
        <v>71</v>
      </c>
    </row>
    <row r="35" spans="2:10" x14ac:dyDescent="0.2">
      <c r="B35" s="243" t="s">
        <v>123</v>
      </c>
      <c r="C35" s="243">
        <f>SUM(C33-C34)</f>
        <v>-1</v>
      </c>
      <c r="D35" s="243">
        <f t="shared" ref="D35:J35" si="3">SUM(D33-D34)</f>
        <v>-24221</v>
      </c>
      <c r="E35" s="243">
        <f t="shared" si="3"/>
        <v>-2472</v>
      </c>
      <c r="F35" s="243">
        <f t="shared" si="3"/>
        <v>-1559</v>
      </c>
      <c r="G35" s="243">
        <f t="shared" si="3"/>
        <v>6053</v>
      </c>
      <c r="H35" s="243">
        <f t="shared" si="3"/>
        <v>-1</v>
      </c>
      <c r="I35" s="243">
        <f t="shared" si="3"/>
        <v>-39</v>
      </c>
      <c r="J35" s="243">
        <f t="shared" si="3"/>
        <v>0</v>
      </c>
    </row>
    <row r="36" spans="2:10" x14ac:dyDescent="0.2">
      <c r="B36" s="315"/>
      <c r="C36" s="315"/>
      <c r="D36" s="315"/>
      <c r="E36" s="315"/>
      <c r="F36" s="315"/>
      <c r="G36" s="315"/>
      <c r="H36" s="315"/>
      <c r="I36" s="315"/>
      <c r="J36" s="315"/>
    </row>
    <row r="37" spans="2:10" x14ac:dyDescent="0.2">
      <c r="B37" s="252" t="s">
        <v>148</v>
      </c>
      <c r="C37" s="246">
        <f t="shared" ref="C37:H38" si="4">SUM(C17+C33)</f>
        <v>11</v>
      </c>
      <c r="D37" s="246">
        <f t="shared" si="4"/>
        <v>236442</v>
      </c>
      <c r="E37" s="246">
        <f t="shared" si="4"/>
        <v>7837</v>
      </c>
      <c r="F37" s="246">
        <f t="shared" si="4"/>
        <v>37354</v>
      </c>
      <c r="G37" s="246">
        <f t="shared" si="4"/>
        <v>42618</v>
      </c>
      <c r="H37" s="246">
        <f t="shared" si="4"/>
        <v>17</v>
      </c>
      <c r="I37" s="246">
        <f>SUM(I17,I33)</f>
        <v>136</v>
      </c>
      <c r="J37" s="246">
        <f>SUM(J33,J17)</f>
        <v>136</v>
      </c>
    </row>
    <row r="38" spans="2:10" x14ac:dyDescent="0.2">
      <c r="B38" s="243" t="s">
        <v>280</v>
      </c>
      <c r="C38" s="316">
        <f t="shared" si="4"/>
        <v>12</v>
      </c>
      <c r="D38" s="316">
        <f t="shared" si="4"/>
        <v>259300</v>
      </c>
      <c r="E38" s="316">
        <f t="shared" si="4"/>
        <v>10381</v>
      </c>
      <c r="F38" s="316">
        <f t="shared" si="4"/>
        <v>34187</v>
      </c>
      <c r="G38" s="316">
        <f t="shared" si="4"/>
        <v>33208</v>
      </c>
      <c r="H38" s="316">
        <f t="shared" si="4"/>
        <v>22</v>
      </c>
      <c r="I38" s="316">
        <f>SUM(I18,I34)</f>
        <v>177</v>
      </c>
      <c r="J38" s="316">
        <f>SUM(J34,J18)</f>
        <v>130</v>
      </c>
    </row>
    <row r="39" spans="2:10" x14ac:dyDescent="0.2">
      <c r="B39" s="243" t="s">
        <v>123</v>
      </c>
      <c r="C39" s="317">
        <f t="shared" ref="C39:J39" si="5">C37-C38</f>
        <v>-1</v>
      </c>
      <c r="D39" s="317">
        <f t="shared" si="5"/>
        <v>-22858</v>
      </c>
      <c r="E39" s="317">
        <f t="shared" si="5"/>
        <v>-2544</v>
      </c>
      <c r="F39" s="317">
        <f t="shared" si="5"/>
        <v>3167</v>
      </c>
      <c r="G39" s="317">
        <f t="shared" si="5"/>
        <v>9410</v>
      </c>
      <c r="H39" s="317">
        <f t="shared" si="5"/>
        <v>-5</v>
      </c>
      <c r="I39" s="317">
        <f t="shared" si="5"/>
        <v>-41</v>
      </c>
      <c r="J39" s="317">
        <f t="shared" si="5"/>
        <v>6</v>
      </c>
    </row>
  </sheetData>
  <mergeCells count="23">
    <mergeCell ref="D20:J20"/>
    <mergeCell ref="B21:B24"/>
    <mergeCell ref="C21:C24"/>
    <mergeCell ref="D21:J21"/>
    <mergeCell ref="D22:D24"/>
    <mergeCell ref="E22:E24"/>
    <mergeCell ref="F22:F24"/>
    <mergeCell ref="G22:G24"/>
    <mergeCell ref="H22:H24"/>
    <mergeCell ref="I22:I24"/>
    <mergeCell ref="J22:J24"/>
    <mergeCell ref="B2:J3"/>
    <mergeCell ref="I5:J5"/>
    <mergeCell ref="B7:B10"/>
    <mergeCell ref="C7:C10"/>
    <mergeCell ref="D7:J7"/>
    <mergeCell ref="D8:D10"/>
    <mergeCell ref="E8:E10"/>
    <mergeCell ref="F8:F10"/>
    <mergeCell ref="G8:G10"/>
    <mergeCell ref="H8:H10"/>
    <mergeCell ref="I8:I10"/>
    <mergeCell ref="J8:J10"/>
  </mergeCells>
  <pageMargins left="0.79" right="0.75" top="1" bottom="1" header="0" footer="0"/>
  <pageSetup paperSize="9" scale="76" orientation="portrait" r:id="rId1"/>
  <headerFooter alignWithMargins="0"/>
  <ignoredErrors>
    <ignoredError sqref="C17:J17 C33:J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32"/>
  <sheetViews>
    <sheetView zoomScale="106" zoomScaleNormal="106" workbookViewId="0">
      <selection activeCell="D24" sqref="D24"/>
    </sheetView>
  </sheetViews>
  <sheetFormatPr defaultColWidth="9.140625" defaultRowHeight="12.75" x14ac:dyDescent="0.2"/>
  <cols>
    <col min="1" max="1" width="9.140625" style="230"/>
    <col min="2" max="2" width="30.140625" style="230" customWidth="1"/>
    <col min="3" max="3" width="8.5703125" style="230" customWidth="1"/>
    <col min="4" max="4" width="8.7109375" style="230" customWidth="1"/>
    <col min="5" max="5" width="7.42578125" style="230" customWidth="1"/>
    <col min="6" max="6" width="9.42578125" style="230" customWidth="1"/>
    <col min="7" max="7" width="10.140625" style="230" customWidth="1"/>
    <col min="8" max="8" width="11.28515625" style="230" customWidth="1"/>
    <col min="9" max="9" width="10" style="230" customWidth="1"/>
    <col min="10" max="10" width="6.85546875" style="230" customWidth="1"/>
    <col min="11" max="16384" width="9.140625" style="230"/>
  </cols>
  <sheetData>
    <row r="2" spans="2:21" ht="15" x14ac:dyDescent="0.2">
      <c r="B2" s="961" t="s">
        <v>277</v>
      </c>
      <c r="C2" s="961"/>
      <c r="D2" s="961"/>
      <c r="E2" s="961"/>
      <c r="F2" s="961"/>
      <c r="G2" s="961"/>
      <c r="H2" s="961"/>
      <c r="I2" s="961"/>
      <c r="J2" s="961"/>
    </row>
    <row r="3" spans="2:21" ht="15.75" x14ac:dyDescent="0.25">
      <c r="B3" s="232"/>
      <c r="C3" s="991"/>
      <c r="D3" s="991"/>
      <c r="E3" s="991"/>
      <c r="F3" s="991"/>
      <c r="G3" s="991"/>
    </row>
    <row r="4" spans="2:21" ht="15.75" x14ac:dyDescent="0.25">
      <c r="B4" s="232"/>
      <c r="C4" s="257"/>
      <c r="D4" s="257"/>
      <c r="E4" s="257"/>
      <c r="F4" s="257"/>
      <c r="G4" s="257"/>
      <c r="I4" s="982" t="s">
        <v>285</v>
      </c>
      <c r="J4" s="982"/>
    </row>
    <row r="5" spans="2:21" ht="15.75" x14ac:dyDescent="0.25">
      <c r="B5" s="234"/>
    </row>
    <row r="6" spans="2:21" x14ac:dyDescent="0.2">
      <c r="B6" s="983"/>
      <c r="C6" s="968" t="s">
        <v>66</v>
      </c>
      <c r="D6" s="986" t="s">
        <v>2</v>
      </c>
      <c r="E6" s="987"/>
      <c r="F6" s="987"/>
      <c r="G6" s="987"/>
      <c r="H6" s="987"/>
      <c r="I6" s="987"/>
      <c r="J6" s="988"/>
    </row>
    <row r="7" spans="2:21" x14ac:dyDescent="0.2">
      <c r="B7" s="984"/>
      <c r="C7" s="969"/>
      <c r="D7" s="968" t="s">
        <v>143</v>
      </c>
      <c r="E7" s="968" t="s">
        <v>68</v>
      </c>
      <c r="F7" s="968" t="s">
        <v>69</v>
      </c>
      <c r="G7" s="968" t="s">
        <v>70</v>
      </c>
      <c r="H7" s="968" t="s">
        <v>222</v>
      </c>
      <c r="I7" s="968" t="s">
        <v>144</v>
      </c>
      <c r="J7" s="968" t="s">
        <v>269</v>
      </c>
    </row>
    <row r="8" spans="2:21" x14ac:dyDescent="0.2">
      <c r="B8" s="984"/>
      <c r="C8" s="969"/>
      <c r="D8" s="969"/>
      <c r="E8" s="969"/>
      <c r="F8" s="969"/>
      <c r="G8" s="969"/>
      <c r="H8" s="969"/>
      <c r="I8" s="969"/>
      <c r="J8" s="969"/>
    </row>
    <row r="9" spans="2:21" ht="14.25" customHeight="1" x14ac:dyDescent="0.2">
      <c r="B9" s="985"/>
      <c r="C9" s="970"/>
      <c r="D9" s="970"/>
      <c r="E9" s="970"/>
      <c r="F9" s="970"/>
      <c r="G9" s="970"/>
      <c r="H9" s="970"/>
      <c r="I9" s="970"/>
      <c r="J9" s="970"/>
    </row>
    <row r="10" spans="2:21" x14ac:dyDescent="0.2">
      <c r="B10" s="261">
        <v>1</v>
      </c>
      <c r="C10" s="262">
        <v>2</v>
      </c>
      <c r="D10" s="262">
        <v>3</v>
      </c>
      <c r="E10" s="293">
        <v>4</v>
      </c>
      <c r="F10" s="293">
        <v>5</v>
      </c>
      <c r="G10" s="293">
        <v>6</v>
      </c>
      <c r="H10" s="262">
        <v>7</v>
      </c>
      <c r="I10" s="262">
        <v>8</v>
      </c>
      <c r="J10" s="265">
        <v>9</v>
      </c>
    </row>
    <row r="11" spans="2:21" ht="15.95" customHeight="1" x14ac:dyDescent="0.2">
      <c r="B11" s="301" t="s">
        <v>250</v>
      </c>
      <c r="C11" s="302">
        <v>1</v>
      </c>
      <c r="D11" s="303">
        <v>46122</v>
      </c>
      <c r="E11" s="302">
        <v>1154</v>
      </c>
      <c r="F11" s="303">
        <v>8478</v>
      </c>
      <c r="G11" s="302">
        <v>18336</v>
      </c>
      <c r="H11" s="303">
        <v>2</v>
      </c>
      <c r="I11" s="302">
        <v>10</v>
      </c>
      <c r="J11" s="304">
        <v>10</v>
      </c>
    </row>
    <row r="12" spans="2:21" s="554" customFormat="1" ht="24" customHeight="1" x14ac:dyDescent="0.2">
      <c r="B12" s="305" t="s">
        <v>273</v>
      </c>
      <c r="C12" s="274">
        <v>1</v>
      </c>
      <c r="D12" s="282">
        <v>26837</v>
      </c>
      <c r="E12" s="274">
        <v>0</v>
      </c>
      <c r="F12" s="282">
        <v>0</v>
      </c>
      <c r="G12" s="274">
        <v>0</v>
      </c>
      <c r="H12" s="282">
        <v>0</v>
      </c>
      <c r="I12" s="274">
        <v>0</v>
      </c>
      <c r="J12" s="306">
        <v>0</v>
      </c>
      <c r="U12" s="555"/>
    </row>
    <row r="13" spans="2:21" ht="15" customHeight="1" x14ac:dyDescent="0.2">
      <c r="B13" s="273" t="s">
        <v>241</v>
      </c>
      <c r="C13" s="274">
        <v>1</v>
      </c>
      <c r="D13" s="282">
        <v>17165</v>
      </c>
      <c r="E13" s="274">
        <v>2590</v>
      </c>
      <c r="F13" s="282">
        <v>22851</v>
      </c>
      <c r="G13" s="274">
        <v>13439</v>
      </c>
      <c r="H13" s="282">
        <v>5</v>
      </c>
      <c r="I13" s="274">
        <v>51</v>
      </c>
      <c r="J13" s="306">
        <v>51</v>
      </c>
      <c r="U13" s="137"/>
    </row>
    <row r="14" spans="2:21" ht="14.25" customHeight="1" x14ac:dyDescent="0.2">
      <c r="B14" s="305" t="s">
        <v>240</v>
      </c>
      <c r="C14" s="274">
        <v>1</v>
      </c>
      <c r="D14" s="282">
        <v>19765</v>
      </c>
      <c r="E14" s="274">
        <v>0</v>
      </c>
      <c r="F14" s="282">
        <v>0</v>
      </c>
      <c r="G14" s="274">
        <v>0</v>
      </c>
      <c r="H14" s="282">
        <v>0</v>
      </c>
      <c r="I14" s="274">
        <v>0</v>
      </c>
      <c r="J14" s="306">
        <v>0</v>
      </c>
      <c r="U14" s="137"/>
    </row>
    <row r="15" spans="2:21" s="554" customFormat="1" ht="15" customHeight="1" x14ac:dyDescent="0.2">
      <c r="B15" s="307" t="s">
        <v>249</v>
      </c>
      <c r="C15" s="285">
        <v>1</v>
      </c>
      <c r="D15" s="289">
        <v>61982</v>
      </c>
      <c r="E15" s="285">
        <v>111</v>
      </c>
      <c r="F15" s="289">
        <v>1229</v>
      </c>
      <c r="G15" s="285">
        <v>0</v>
      </c>
      <c r="H15" s="289">
        <v>1</v>
      </c>
      <c r="I15" s="285">
        <v>4</v>
      </c>
      <c r="J15" s="553">
        <v>4</v>
      </c>
    </row>
    <row r="16" spans="2:21" ht="15.95" customHeight="1" x14ac:dyDescent="0.2">
      <c r="B16" s="252" t="s">
        <v>22</v>
      </c>
      <c r="C16" s="308">
        <f>SUM(C11:C15)</f>
        <v>5</v>
      </c>
      <c r="D16" s="308">
        <f t="shared" ref="D16:J16" si="0">SUM(D11:D15)</f>
        <v>171871</v>
      </c>
      <c r="E16" s="308">
        <f t="shared" si="0"/>
        <v>3855</v>
      </c>
      <c r="F16" s="308">
        <f t="shared" si="0"/>
        <v>32558</v>
      </c>
      <c r="G16" s="308">
        <f t="shared" si="0"/>
        <v>31775</v>
      </c>
      <c r="H16" s="308">
        <f t="shared" si="0"/>
        <v>8</v>
      </c>
      <c r="I16" s="308">
        <f t="shared" si="0"/>
        <v>65</v>
      </c>
      <c r="J16" s="308">
        <f t="shared" si="0"/>
        <v>65</v>
      </c>
    </row>
    <row r="17" spans="2:10" ht="15.95" customHeight="1" x14ac:dyDescent="0.2">
      <c r="B17" s="243" t="s">
        <v>280</v>
      </c>
      <c r="C17" s="309">
        <v>5</v>
      </c>
      <c r="D17" s="309">
        <v>170508</v>
      </c>
      <c r="E17" s="309">
        <v>3927</v>
      </c>
      <c r="F17" s="309">
        <v>27832</v>
      </c>
      <c r="G17" s="309">
        <v>28418</v>
      </c>
      <c r="H17" s="309">
        <v>12</v>
      </c>
      <c r="I17" s="309">
        <v>67</v>
      </c>
      <c r="J17" s="309">
        <v>59</v>
      </c>
    </row>
    <row r="18" spans="2:10" ht="15.95" customHeight="1" x14ac:dyDescent="0.2">
      <c r="B18" s="243" t="s">
        <v>123</v>
      </c>
      <c r="C18" s="310">
        <f t="shared" ref="C18:J18" si="1">SUM(C16-C17)</f>
        <v>0</v>
      </c>
      <c r="D18" s="310">
        <f t="shared" si="1"/>
        <v>1363</v>
      </c>
      <c r="E18" s="310">
        <f t="shared" si="1"/>
        <v>-72</v>
      </c>
      <c r="F18" s="310">
        <f t="shared" si="1"/>
        <v>4726</v>
      </c>
      <c r="G18" s="310">
        <f t="shared" si="1"/>
        <v>3357</v>
      </c>
      <c r="H18" s="310">
        <f t="shared" si="1"/>
        <v>-4</v>
      </c>
      <c r="I18" s="310">
        <f t="shared" si="1"/>
        <v>-2</v>
      </c>
      <c r="J18" s="310">
        <f t="shared" si="1"/>
        <v>6</v>
      </c>
    </row>
    <row r="19" spans="2:10" ht="15.95" customHeight="1" x14ac:dyDescent="0.2">
      <c r="B19" s="256"/>
    </row>
    <row r="20" spans="2:10" ht="15.95" customHeight="1" x14ac:dyDescent="0.2">
      <c r="B20" s="256"/>
    </row>
    <row r="21" spans="2:10" ht="15.95" customHeight="1" x14ac:dyDescent="0.2">
      <c r="B21" s="256"/>
    </row>
    <row r="22" spans="2:10" ht="15.95" customHeight="1" x14ac:dyDescent="0.2">
      <c r="B22" s="256"/>
    </row>
    <row r="23" spans="2:10" ht="15.95" customHeight="1" x14ac:dyDescent="0.2">
      <c r="B23" s="256"/>
    </row>
    <row r="24" spans="2:10" ht="15.95" customHeight="1" x14ac:dyDescent="0.2">
      <c r="B24" s="256"/>
    </row>
    <row r="25" spans="2:10" ht="15.95" customHeight="1" x14ac:dyDescent="0.2">
      <c r="B25" s="256"/>
    </row>
    <row r="26" spans="2:10" ht="15.95" customHeight="1" x14ac:dyDescent="0.2">
      <c r="B26" s="256"/>
    </row>
    <row r="27" spans="2:10" ht="15.95" customHeight="1" x14ac:dyDescent="0.2">
      <c r="B27" s="256"/>
    </row>
    <row r="28" spans="2:10" ht="15.95" customHeight="1" x14ac:dyDescent="0.2">
      <c r="B28" s="256"/>
    </row>
    <row r="29" spans="2:10" ht="15.95" customHeight="1" x14ac:dyDescent="0.2"/>
    <row r="30" spans="2:10" ht="15.95" customHeight="1" x14ac:dyDescent="0.2"/>
    <row r="31" spans="2:10" ht="15.95" customHeight="1" x14ac:dyDescent="0.2"/>
    <row r="32" spans="2:10" ht="15.95" customHeight="1" x14ac:dyDescent="0.2"/>
  </sheetData>
  <mergeCells count="13">
    <mergeCell ref="H7:H9"/>
    <mergeCell ref="I7:I9"/>
    <mergeCell ref="J7:J9"/>
    <mergeCell ref="B2:J2"/>
    <mergeCell ref="C3:G3"/>
    <mergeCell ref="I4:J4"/>
    <mergeCell ref="B6:B9"/>
    <mergeCell ref="C6:C9"/>
    <mergeCell ref="D6:J6"/>
    <mergeCell ref="D7:D9"/>
    <mergeCell ref="E7:E9"/>
    <mergeCell ref="F7:F9"/>
    <mergeCell ref="G7:G9"/>
  </mergeCells>
  <pageMargins left="1.01" right="0.75" top="1" bottom="1" header="0" footer="0"/>
  <pageSetup paperSize="9" scale="74" orientation="portrait" r:id="rId1"/>
  <headerFooter alignWithMargins="0"/>
  <ignoredErrors>
    <ignoredError sqref="C16:J16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8"/>
  <sheetViews>
    <sheetView zoomScaleNormal="100" workbookViewId="0">
      <selection activeCell="B11" sqref="B11:J20"/>
    </sheetView>
  </sheetViews>
  <sheetFormatPr defaultColWidth="9.140625" defaultRowHeight="12.75" x14ac:dyDescent="0.2"/>
  <cols>
    <col min="1" max="1" width="9.140625" style="230"/>
    <col min="2" max="2" width="30.42578125" style="256" customWidth="1"/>
    <col min="3" max="3" width="8.7109375" style="230" customWidth="1"/>
    <col min="4" max="4" width="8.42578125" style="230" customWidth="1"/>
    <col min="5" max="5" width="7" style="230" customWidth="1"/>
    <col min="6" max="6" width="9.28515625" style="230" customWidth="1"/>
    <col min="7" max="7" width="10.140625" style="230" customWidth="1"/>
    <col min="8" max="8" width="11.42578125" style="230" customWidth="1"/>
    <col min="9" max="9" width="9.42578125" style="230" customWidth="1"/>
    <col min="10" max="10" width="8" style="230" customWidth="1"/>
    <col min="11" max="16384" width="9.140625" style="230"/>
  </cols>
  <sheetData>
    <row r="2" spans="2:21" ht="15" x14ac:dyDescent="0.2">
      <c r="B2" s="961" t="s">
        <v>149</v>
      </c>
      <c r="C2" s="961"/>
      <c r="D2" s="961"/>
      <c r="E2" s="961"/>
      <c r="F2" s="961"/>
      <c r="G2" s="961"/>
      <c r="H2" s="961"/>
      <c r="I2" s="961"/>
      <c r="J2" s="961"/>
    </row>
    <row r="3" spans="2:21" ht="15.75" x14ac:dyDescent="0.25">
      <c r="C3" s="991"/>
      <c r="D3" s="991"/>
      <c r="E3" s="991"/>
      <c r="F3" s="991"/>
      <c r="G3" s="991"/>
    </row>
    <row r="4" spans="2:21" ht="15.75" x14ac:dyDescent="0.25">
      <c r="C4" s="257"/>
      <c r="D4" s="257"/>
      <c r="E4" s="257"/>
      <c r="F4" s="257"/>
      <c r="G4" s="257"/>
      <c r="I4" s="982" t="s">
        <v>285</v>
      </c>
      <c r="J4" s="982"/>
    </row>
    <row r="5" spans="2:21" x14ac:dyDescent="0.2">
      <c r="B5" s="377"/>
    </row>
    <row r="6" spans="2:21" x14ac:dyDescent="0.2">
      <c r="B6" s="983"/>
      <c r="C6" s="968" t="s">
        <v>66</v>
      </c>
      <c r="D6" s="986" t="s">
        <v>2</v>
      </c>
      <c r="E6" s="987"/>
      <c r="F6" s="987"/>
      <c r="G6" s="987"/>
      <c r="H6" s="987"/>
      <c r="I6" s="987"/>
      <c r="J6" s="988"/>
    </row>
    <row r="7" spans="2:21" x14ac:dyDescent="0.2">
      <c r="B7" s="984"/>
      <c r="C7" s="969"/>
      <c r="D7" s="968" t="s">
        <v>143</v>
      </c>
      <c r="E7" s="968" t="s">
        <v>68</v>
      </c>
      <c r="F7" s="968" t="s">
        <v>69</v>
      </c>
      <c r="G7" s="968" t="s">
        <v>70</v>
      </c>
      <c r="H7" s="968" t="s">
        <v>222</v>
      </c>
      <c r="I7" s="968" t="s">
        <v>144</v>
      </c>
      <c r="J7" s="968" t="s">
        <v>269</v>
      </c>
    </row>
    <row r="8" spans="2:21" x14ac:dyDescent="0.2">
      <c r="B8" s="984"/>
      <c r="C8" s="969"/>
      <c r="D8" s="969"/>
      <c r="E8" s="969"/>
      <c r="F8" s="969"/>
      <c r="G8" s="969"/>
      <c r="H8" s="969"/>
      <c r="I8" s="969"/>
      <c r="J8" s="969"/>
    </row>
    <row r="9" spans="2:21" ht="16.5" customHeight="1" x14ac:dyDescent="0.2">
      <c r="B9" s="985"/>
      <c r="C9" s="970"/>
      <c r="D9" s="970"/>
      <c r="E9" s="970"/>
      <c r="F9" s="970"/>
      <c r="G9" s="970"/>
      <c r="H9" s="970"/>
      <c r="I9" s="970"/>
      <c r="J9" s="970"/>
    </row>
    <row r="10" spans="2:21" x14ac:dyDescent="0.2">
      <c r="B10" s="261">
        <v>1</v>
      </c>
      <c r="C10" s="262">
        <v>2</v>
      </c>
      <c r="D10" s="262">
        <v>3</v>
      </c>
      <c r="E10" s="293">
        <v>4</v>
      </c>
      <c r="F10" s="293">
        <v>5</v>
      </c>
      <c r="G10" s="293">
        <v>6</v>
      </c>
      <c r="H10" s="262">
        <v>7</v>
      </c>
      <c r="I10" s="262">
        <v>8</v>
      </c>
      <c r="J10" s="265">
        <v>9</v>
      </c>
    </row>
    <row r="11" spans="2:21" ht="15.95" customHeight="1" x14ac:dyDescent="0.2">
      <c r="B11" s="267" t="s">
        <v>242</v>
      </c>
      <c r="C11" s="294">
        <v>1</v>
      </c>
      <c r="D11" s="295">
        <v>3790</v>
      </c>
      <c r="E11" s="294">
        <v>321</v>
      </c>
      <c r="F11" s="295">
        <v>130</v>
      </c>
      <c r="G11" s="294">
        <v>1300</v>
      </c>
      <c r="H11" s="295">
        <v>1</v>
      </c>
      <c r="I11" s="294">
        <v>3</v>
      </c>
      <c r="J11" s="313">
        <v>3</v>
      </c>
    </row>
    <row r="12" spans="2:21" ht="15.95" customHeight="1" x14ac:dyDescent="0.2">
      <c r="B12" s="273" t="s">
        <v>243</v>
      </c>
      <c r="C12" s="296">
        <v>1</v>
      </c>
      <c r="D12" s="297">
        <v>14486</v>
      </c>
      <c r="E12" s="296">
        <v>778</v>
      </c>
      <c r="F12" s="297">
        <v>1360</v>
      </c>
      <c r="G12" s="296">
        <v>226</v>
      </c>
      <c r="H12" s="297">
        <v>1</v>
      </c>
      <c r="I12" s="296">
        <v>22</v>
      </c>
      <c r="J12" s="314">
        <v>22</v>
      </c>
      <c r="U12" s="137"/>
    </row>
    <row r="13" spans="2:21" ht="15.95" customHeight="1" x14ac:dyDescent="0.2">
      <c r="B13" s="273" t="s">
        <v>244</v>
      </c>
      <c r="C13" s="296">
        <v>1</v>
      </c>
      <c r="D13" s="297">
        <v>32829</v>
      </c>
      <c r="E13" s="296">
        <v>1754</v>
      </c>
      <c r="F13" s="297">
        <v>1970</v>
      </c>
      <c r="G13" s="296">
        <v>6321</v>
      </c>
      <c r="H13" s="297">
        <v>3</v>
      </c>
      <c r="I13" s="296">
        <v>17</v>
      </c>
      <c r="J13" s="314">
        <v>17</v>
      </c>
      <c r="U13" s="137"/>
    </row>
    <row r="14" spans="2:21" ht="15.95" customHeight="1" x14ac:dyDescent="0.2">
      <c r="B14" s="273" t="s">
        <v>248</v>
      </c>
      <c r="C14" s="296">
        <v>0</v>
      </c>
      <c r="D14" s="297">
        <v>0</v>
      </c>
      <c r="E14" s="296">
        <v>0</v>
      </c>
      <c r="F14" s="297">
        <v>0</v>
      </c>
      <c r="G14" s="296">
        <v>0</v>
      </c>
      <c r="H14" s="297">
        <v>0</v>
      </c>
      <c r="I14" s="296">
        <v>0</v>
      </c>
      <c r="J14" s="314">
        <v>0</v>
      </c>
    </row>
    <row r="15" spans="2:21" ht="15.95" customHeight="1" x14ac:dyDescent="0.2">
      <c r="B15" s="273" t="s">
        <v>245</v>
      </c>
      <c r="C15" s="296">
        <v>1</v>
      </c>
      <c r="D15" s="297">
        <v>4495</v>
      </c>
      <c r="E15" s="296">
        <v>100</v>
      </c>
      <c r="F15" s="297">
        <v>177</v>
      </c>
      <c r="G15" s="296">
        <v>158</v>
      </c>
      <c r="H15" s="297">
        <v>1</v>
      </c>
      <c r="I15" s="296">
        <v>12</v>
      </c>
      <c r="J15" s="314">
        <v>12</v>
      </c>
    </row>
    <row r="16" spans="2:21" ht="15.95" customHeight="1" x14ac:dyDescent="0.2">
      <c r="B16" s="273" t="s">
        <v>246</v>
      </c>
      <c r="C16" s="296">
        <v>1</v>
      </c>
      <c r="D16" s="297">
        <v>7689</v>
      </c>
      <c r="E16" s="296">
        <v>429</v>
      </c>
      <c r="F16" s="297">
        <v>479</v>
      </c>
      <c r="G16" s="296">
        <v>2406</v>
      </c>
      <c r="H16" s="297">
        <v>2</v>
      </c>
      <c r="I16" s="296">
        <v>5</v>
      </c>
      <c r="J16" s="314">
        <v>5</v>
      </c>
    </row>
    <row r="17" spans="2:10" ht="15.95" customHeight="1" x14ac:dyDescent="0.2">
      <c r="B17" s="273" t="s">
        <v>247</v>
      </c>
      <c r="C17" s="296">
        <v>1</v>
      </c>
      <c r="D17" s="296">
        <v>1282</v>
      </c>
      <c r="E17" s="296">
        <v>600</v>
      </c>
      <c r="F17" s="297">
        <v>680</v>
      </c>
      <c r="G17" s="296">
        <v>432</v>
      </c>
      <c r="H17" s="297">
        <v>1</v>
      </c>
      <c r="I17" s="296">
        <v>12</v>
      </c>
      <c r="J17" s="314">
        <v>12</v>
      </c>
    </row>
    <row r="18" spans="2:10" ht="15.95" customHeight="1" x14ac:dyDescent="0.2">
      <c r="B18" s="252" t="s">
        <v>22</v>
      </c>
      <c r="C18" s="252">
        <f t="shared" ref="C18:J18" si="0">SUM(C11:C17)</f>
        <v>6</v>
      </c>
      <c r="D18" s="252">
        <f t="shared" si="0"/>
        <v>64571</v>
      </c>
      <c r="E18" s="252">
        <f t="shared" si="0"/>
        <v>3982</v>
      </c>
      <c r="F18" s="252">
        <f t="shared" si="0"/>
        <v>4796</v>
      </c>
      <c r="G18" s="252">
        <f t="shared" si="0"/>
        <v>10843</v>
      </c>
      <c r="H18" s="252">
        <f t="shared" si="0"/>
        <v>9</v>
      </c>
      <c r="I18" s="252">
        <f t="shared" si="0"/>
        <v>71</v>
      </c>
      <c r="J18" s="252">
        <f t="shared" si="0"/>
        <v>71</v>
      </c>
    </row>
    <row r="19" spans="2:10" ht="15.95" customHeight="1" x14ac:dyDescent="0.2">
      <c r="B19" s="243" t="s">
        <v>280</v>
      </c>
      <c r="C19" s="243">
        <v>7</v>
      </c>
      <c r="D19" s="243">
        <v>88792</v>
      </c>
      <c r="E19" s="243">
        <v>6454</v>
      </c>
      <c r="F19" s="243">
        <v>6355</v>
      </c>
      <c r="G19" s="243">
        <v>4790</v>
      </c>
      <c r="H19" s="243">
        <v>10</v>
      </c>
      <c r="I19" s="243">
        <v>110</v>
      </c>
      <c r="J19" s="243">
        <v>71</v>
      </c>
    </row>
    <row r="20" spans="2:10" ht="15.95" customHeight="1" x14ac:dyDescent="0.2">
      <c r="B20" s="243" t="s">
        <v>123</v>
      </c>
      <c r="C20" s="243">
        <f>SUM(C18-C19)</f>
        <v>-1</v>
      </c>
      <c r="D20" s="243">
        <f t="shared" ref="D20:J20" si="1">SUM(D18-D19)</f>
        <v>-24221</v>
      </c>
      <c r="E20" s="243">
        <f t="shared" si="1"/>
        <v>-2472</v>
      </c>
      <c r="F20" s="243">
        <f t="shared" si="1"/>
        <v>-1559</v>
      </c>
      <c r="G20" s="243">
        <f t="shared" si="1"/>
        <v>6053</v>
      </c>
      <c r="H20" s="243">
        <f t="shared" si="1"/>
        <v>-1</v>
      </c>
      <c r="I20" s="243">
        <f t="shared" si="1"/>
        <v>-39</v>
      </c>
      <c r="J20" s="243">
        <f t="shared" si="1"/>
        <v>0</v>
      </c>
    </row>
    <row r="21" spans="2:10" ht="15.95" customHeight="1" x14ac:dyDescent="0.2"/>
    <row r="22" spans="2:10" ht="15.95" customHeight="1" x14ac:dyDescent="0.2"/>
    <row r="23" spans="2:10" ht="15.95" customHeight="1" x14ac:dyDescent="0.2"/>
    <row r="24" spans="2:10" ht="15.95" customHeight="1" x14ac:dyDescent="0.2"/>
    <row r="25" spans="2:10" ht="15.95" customHeight="1" x14ac:dyDescent="0.2"/>
    <row r="26" spans="2:10" ht="15.95" customHeight="1" x14ac:dyDescent="0.2"/>
    <row r="27" spans="2:10" ht="15.95" customHeight="1" x14ac:dyDescent="0.2"/>
    <row r="28" spans="2:10" ht="15.95" customHeight="1" x14ac:dyDescent="0.2"/>
  </sheetData>
  <mergeCells count="13">
    <mergeCell ref="H7:H9"/>
    <mergeCell ref="I7:I9"/>
    <mergeCell ref="J7:J9"/>
    <mergeCell ref="B2:J2"/>
    <mergeCell ref="C3:G3"/>
    <mergeCell ref="I4:J4"/>
    <mergeCell ref="B6:B9"/>
    <mergeCell ref="C6:C9"/>
    <mergeCell ref="D6:J6"/>
    <mergeCell ref="D7:D9"/>
    <mergeCell ref="E7:E9"/>
    <mergeCell ref="F7:F9"/>
    <mergeCell ref="G7:G9"/>
  </mergeCells>
  <pageMargins left="1.07" right="0.75" top="1" bottom="1" header="0" footer="0"/>
  <pageSetup paperSize="9" scale="73" orientation="portrait" r:id="rId1"/>
  <headerFooter alignWithMargins="0"/>
  <ignoredErrors>
    <ignoredError sqref="C18 D18:J18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77"/>
  <sheetViews>
    <sheetView zoomScaleNormal="100" workbookViewId="0">
      <selection activeCell="H120" sqref="H120"/>
    </sheetView>
  </sheetViews>
  <sheetFormatPr defaultColWidth="9.140625" defaultRowHeight="12" customHeight="1" x14ac:dyDescent="0.2"/>
  <cols>
    <col min="1" max="1" width="9.140625" style="400"/>
    <col min="2" max="2" width="15" style="400" customWidth="1"/>
    <col min="3" max="3" width="8" style="400" customWidth="1"/>
    <col min="4" max="4" width="9.85546875" style="400" customWidth="1"/>
    <col min="5" max="5" width="8.5703125" style="400" customWidth="1"/>
    <col min="6" max="6" width="9.42578125" style="400" customWidth="1"/>
    <col min="7" max="8" width="11" style="400" customWidth="1"/>
    <col min="9" max="9" width="7.28515625" style="400" customWidth="1"/>
    <col min="10" max="10" width="9.28515625" style="400" customWidth="1"/>
    <col min="11" max="16384" width="9.140625" style="400"/>
  </cols>
  <sheetData>
    <row r="2" spans="2:21" s="396" customFormat="1" ht="15.75" customHeight="1" x14ac:dyDescent="0.25">
      <c r="B2" s="923" t="s">
        <v>150</v>
      </c>
      <c r="C2" s="923"/>
      <c r="D2" s="923"/>
      <c r="E2" s="923"/>
      <c r="F2" s="923"/>
      <c r="G2" s="923"/>
      <c r="H2" s="923"/>
      <c r="I2" s="923"/>
      <c r="J2" s="923"/>
    </row>
    <row r="3" spans="2:21" s="396" customFormat="1" ht="12" customHeight="1" x14ac:dyDescent="0.25">
      <c r="B3" s="397"/>
      <c r="C3" s="397"/>
      <c r="D3" s="397"/>
      <c r="E3" s="397"/>
      <c r="F3" s="397"/>
      <c r="G3" s="397"/>
      <c r="H3" s="397"/>
      <c r="I3" s="397"/>
      <c r="J3" s="397"/>
    </row>
    <row r="4" spans="2:21" s="396" customFormat="1" ht="14.25" customHeight="1" x14ac:dyDescent="0.25">
      <c r="B4" s="398"/>
      <c r="I4" s="924" t="s">
        <v>283</v>
      </c>
      <c r="J4" s="924"/>
    </row>
    <row r="5" spans="2:21" s="396" customFormat="1" ht="15.75" customHeight="1" x14ac:dyDescent="0.25">
      <c r="B5" s="925" t="s">
        <v>65</v>
      </c>
      <c r="C5" s="925"/>
      <c r="D5" s="925"/>
      <c r="E5" s="925"/>
      <c r="F5" s="925"/>
      <c r="G5" s="925"/>
      <c r="H5" s="925"/>
      <c r="I5" s="925"/>
      <c r="J5" s="925"/>
    </row>
    <row r="6" spans="2:21" ht="12" customHeight="1" x14ac:dyDescent="0.2">
      <c r="B6" s="399"/>
    </row>
    <row r="7" spans="2:21" s="402" customFormat="1" ht="12" customHeight="1" x14ac:dyDescent="0.2">
      <c r="B7" s="929" t="s">
        <v>84</v>
      </c>
      <c r="C7" s="929" t="s">
        <v>85</v>
      </c>
      <c r="D7" s="929" t="s">
        <v>67</v>
      </c>
      <c r="E7" s="929" t="s">
        <v>68</v>
      </c>
      <c r="F7" s="929" t="s">
        <v>69</v>
      </c>
      <c r="G7" s="929" t="s">
        <v>70</v>
      </c>
      <c r="H7" s="929" t="s">
        <v>222</v>
      </c>
      <c r="I7" s="932" t="s">
        <v>223</v>
      </c>
      <c r="J7" s="933"/>
      <c r="K7" s="401"/>
      <c r="L7" s="401"/>
    </row>
    <row r="8" spans="2:21" s="402" customFormat="1" ht="12" customHeight="1" x14ac:dyDescent="0.2">
      <c r="B8" s="930"/>
      <c r="C8" s="930"/>
      <c r="D8" s="930"/>
      <c r="E8" s="930"/>
      <c r="F8" s="930"/>
      <c r="G8" s="930"/>
      <c r="H8" s="930"/>
      <c r="I8" s="934"/>
      <c r="J8" s="935"/>
      <c r="K8" s="401"/>
      <c r="L8" s="401"/>
    </row>
    <row r="9" spans="2:21" s="402" customFormat="1" ht="12" customHeight="1" x14ac:dyDescent="0.2">
      <c r="B9" s="931"/>
      <c r="C9" s="931"/>
      <c r="D9" s="931"/>
      <c r="E9" s="931"/>
      <c r="F9" s="931"/>
      <c r="G9" s="931"/>
      <c r="H9" s="931"/>
      <c r="I9" s="88" t="s">
        <v>73</v>
      </c>
      <c r="J9" s="89" t="s">
        <v>86</v>
      </c>
      <c r="K9" s="401"/>
      <c r="L9" s="401"/>
    </row>
    <row r="10" spans="2:21" s="402" customFormat="1" ht="12" customHeight="1" x14ac:dyDescent="0.2">
      <c r="B10" s="403">
        <v>1</v>
      </c>
      <c r="C10" s="404">
        <v>2</v>
      </c>
      <c r="D10" s="404">
        <v>3</v>
      </c>
      <c r="E10" s="404">
        <v>4</v>
      </c>
      <c r="F10" s="404">
        <v>5</v>
      </c>
      <c r="G10" s="404">
        <v>6</v>
      </c>
      <c r="H10" s="404">
        <v>7</v>
      </c>
      <c r="I10" s="404">
        <v>8</v>
      </c>
      <c r="J10" s="404">
        <v>9</v>
      </c>
      <c r="K10" s="401"/>
      <c r="L10" s="401"/>
    </row>
    <row r="11" spans="2:21" s="402" customFormat="1" ht="12" customHeight="1" x14ac:dyDescent="0.2">
      <c r="B11" s="405" t="s">
        <v>151</v>
      </c>
      <c r="C11" s="406"/>
      <c r="D11" s="406"/>
      <c r="E11" s="406"/>
      <c r="F11" s="406"/>
      <c r="G11" s="406"/>
      <c r="H11" s="406"/>
      <c r="I11" s="406"/>
      <c r="J11" s="407"/>
      <c r="U11" s="72"/>
    </row>
    <row r="12" spans="2:21" s="402" customFormat="1" ht="12" customHeight="1" x14ac:dyDescent="0.2">
      <c r="B12" s="408" t="s">
        <v>88</v>
      </c>
      <c r="C12" s="406">
        <v>2</v>
      </c>
      <c r="D12" s="406">
        <v>107640</v>
      </c>
      <c r="E12" s="406">
        <v>404</v>
      </c>
      <c r="F12" s="406">
        <v>8343</v>
      </c>
      <c r="G12" s="406">
        <v>4721</v>
      </c>
      <c r="H12" s="406">
        <v>4</v>
      </c>
      <c r="I12" s="406">
        <v>2</v>
      </c>
      <c r="J12" s="407">
        <v>2</v>
      </c>
      <c r="U12" s="72"/>
    </row>
    <row r="13" spans="2:21" s="402" customFormat="1" ht="12" customHeight="1" x14ac:dyDescent="0.2">
      <c r="B13" s="408" t="s">
        <v>179</v>
      </c>
      <c r="C13" s="406">
        <v>1</v>
      </c>
      <c r="D13" s="406">
        <v>7514</v>
      </c>
      <c r="E13" s="406">
        <v>119</v>
      </c>
      <c r="F13" s="406">
        <v>2768</v>
      </c>
      <c r="G13" s="406">
        <v>2370</v>
      </c>
      <c r="H13" s="406">
        <v>1</v>
      </c>
      <c r="I13" s="406">
        <v>1</v>
      </c>
      <c r="J13" s="407">
        <v>1</v>
      </c>
      <c r="U13" s="72"/>
    </row>
    <row r="14" spans="2:21" s="402" customFormat="1" ht="12" customHeight="1" x14ac:dyDescent="0.2">
      <c r="B14" s="408" t="s">
        <v>89</v>
      </c>
      <c r="C14" s="406">
        <v>0</v>
      </c>
      <c r="D14" s="406">
        <v>0</v>
      </c>
      <c r="E14" s="406">
        <v>0</v>
      </c>
      <c r="F14" s="406">
        <v>0</v>
      </c>
      <c r="G14" s="406">
        <v>0</v>
      </c>
      <c r="H14" s="406">
        <v>0</v>
      </c>
      <c r="I14" s="406">
        <v>0</v>
      </c>
      <c r="J14" s="407">
        <v>0</v>
      </c>
      <c r="U14" s="72"/>
    </row>
    <row r="15" spans="2:21" s="402" customFormat="1" ht="12" customHeight="1" x14ac:dyDescent="0.2">
      <c r="B15" s="408" t="s">
        <v>180</v>
      </c>
      <c r="C15" s="406">
        <v>1</v>
      </c>
      <c r="D15" s="406">
        <v>11346</v>
      </c>
      <c r="E15" s="406">
        <v>352</v>
      </c>
      <c r="F15" s="406">
        <v>2734</v>
      </c>
      <c r="G15" s="406">
        <v>1262</v>
      </c>
      <c r="H15" s="406">
        <v>1</v>
      </c>
      <c r="I15" s="406">
        <v>1</v>
      </c>
      <c r="J15" s="407">
        <v>1</v>
      </c>
      <c r="U15" s="72"/>
    </row>
    <row r="16" spans="2:21" s="402" customFormat="1" ht="12" customHeight="1" x14ac:dyDescent="0.2">
      <c r="B16" s="408" t="s">
        <v>181</v>
      </c>
      <c r="C16" s="406">
        <v>1</v>
      </c>
      <c r="D16" s="406">
        <v>15421</v>
      </c>
      <c r="E16" s="406">
        <v>249</v>
      </c>
      <c r="F16" s="406">
        <v>1097</v>
      </c>
      <c r="G16" s="406">
        <v>1910</v>
      </c>
      <c r="H16" s="406">
        <v>1</v>
      </c>
      <c r="I16" s="406">
        <v>1</v>
      </c>
      <c r="J16" s="407">
        <v>1</v>
      </c>
    </row>
    <row r="17" spans="1:10" s="402" customFormat="1" ht="12" customHeight="1" x14ac:dyDescent="0.2">
      <c r="B17" s="409" t="s">
        <v>22</v>
      </c>
      <c r="C17" s="409">
        <f>SUM(C12:C16)</f>
        <v>5</v>
      </c>
      <c r="D17" s="409">
        <f t="shared" ref="D17:J17" si="0">SUM(D12:D16)</f>
        <v>141921</v>
      </c>
      <c r="E17" s="409">
        <f t="shared" si="0"/>
        <v>1124</v>
      </c>
      <c r="F17" s="409">
        <f t="shared" si="0"/>
        <v>14942</v>
      </c>
      <c r="G17" s="409">
        <f t="shared" si="0"/>
        <v>10263</v>
      </c>
      <c r="H17" s="409">
        <f t="shared" si="0"/>
        <v>7</v>
      </c>
      <c r="I17" s="409">
        <f t="shared" si="0"/>
        <v>5</v>
      </c>
      <c r="J17" s="409">
        <f t="shared" si="0"/>
        <v>5</v>
      </c>
    </row>
    <row r="18" spans="1:10" s="402" customFormat="1" ht="12" customHeight="1" x14ac:dyDescent="0.2">
      <c r="B18" s="405" t="s">
        <v>152</v>
      </c>
      <c r="C18" s="406"/>
      <c r="D18" s="406"/>
      <c r="E18" s="406"/>
      <c r="F18" s="406"/>
      <c r="G18" s="406"/>
      <c r="H18" s="406"/>
      <c r="I18" s="406"/>
      <c r="J18" s="407"/>
    </row>
    <row r="19" spans="1:10" s="402" customFormat="1" ht="12" customHeight="1" x14ac:dyDescent="0.2">
      <c r="B19" s="408" t="s">
        <v>91</v>
      </c>
      <c r="C19" s="406">
        <v>0</v>
      </c>
      <c r="D19" s="406">
        <v>0</v>
      </c>
      <c r="E19" s="406">
        <v>0</v>
      </c>
      <c r="F19" s="406">
        <v>0</v>
      </c>
      <c r="G19" s="406">
        <v>0</v>
      </c>
      <c r="H19" s="406">
        <v>0</v>
      </c>
      <c r="I19" s="406">
        <v>0</v>
      </c>
      <c r="J19" s="407">
        <v>0</v>
      </c>
    </row>
    <row r="20" spans="1:10" s="402" customFormat="1" ht="12" customHeight="1" x14ac:dyDescent="0.2">
      <c r="B20" s="408" t="s">
        <v>182</v>
      </c>
      <c r="C20" s="406">
        <v>1</v>
      </c>
      <c r="D20" s="411">
        <v>8319</v>
      </c>
      <c r="E20" s="406">
        <v>320</v>
      </c>
      <c r="F20" s="406">
        <v>1563</v>
      </c>
      <c r="G20" s="406">
        <v>3639</v>
      </c>
      <c r="H20" s="406">
        <v>1</v>
      </c>
      <c r="I20" s="406">
        <v>1</v>
      </c>
      <c r="J20" s="407">
        <v>1</v>
      </c>
    </row>
    <row r="21" spans="1:10" s="402" customFormat="1" ht="12" customHeight="1" x14ac:dyDescent="0.2">
      <c r="B21" s="408" t="s">
        <v>183</v>
      </c>
      <c r="C21" s="406">
        <v>1</v>
      </c>
      <c r="D21" s="406">
        <v>10724</v>
      </c>
      <c r="E21" s="406">
        <v>108</v>
      </c>
      <c r="F21" s="406">
        <v>1251</v>
      </c>
      <c r="G21" s="406">
        <v>668</v>
      </c>
      <c r="H21" s="406">
        <v>1</v>
      </c>
      <c r="I21" s="406">
        <v>1</v>
      </c>
      <c r="J21" s="407">
        <v>1</v>
      </c>
    </row>
    <row r="22" spans="1:10" s="402" customFormat="1" ht="12" customHeight="1" x14ac:dyDescent="0.2">
      <c r="B22" s="408" t="s">
        <v>92</v>
      </c>
      <c r="C22" s="406">
        <v>5</v>
      </c>
      <c r="D22" s="410">
        <v>145174</v>
      </c>
      <c r="E22" s="406">
        <v>8501</v>
      </c>
      <c r="F22" s="406">
        <v>48223</v>
      </c>
      <c r="G22" s="406">
        <v>31869</v>
      </c>
      <c r="H22" s="406">
        <v>12</v>
      </c>
      <c r="I22" s="406">
        <v>5</v>
      </c>
      <c r="J22" s="407">
        <v>5</v>
      </c>
    </row>
    <row r="23" spans="1:10" s="402" customFormat="1" ht="12" customHeight="1" x14ac:dyDescent="0.2">
      <c r="B23" s="408" t="s">
        <v>184</v>
      </c>
      <c r="C23" s="411">
        <v>1</v>
      </c>
      <c r="D23" s="411">
        <v>4011</v>
      </c>
      <c r="E23" s="411">
        <v>161</v>
      </c>
      <c r="F23" s="411">
        <v>1776</v>
      </c>
      <c r="G23" s="411">
        <v>1673</v>
      </c>
      <c r="H23" s="411">
        <v>1</v>
      </c>
      <c r="I23" s="411">
        <v>1</v>
      </c>
      <c r="J23" s="666">
        <v>1</v>
      </c>
    </row>
    <row r="24" spans="1:10" s="402" customFormat="1" ht="12" customHeight="1" x14ac:dyDescent="0.2">
      <c r="B24" s="408" t="s">
        <v>185</v>
      </c>
      <c r="C24" s="406">
        <v>1</v>
      </c>
      <c r="D24" s="406">
        <v>6234</v>
      </c>
      <c r="E24" s="406">
        <v>305</v>
      </c>
      <c r="F24" s="406">
        <v>4882</v>
      </c>
      <c r="G24" s="406">
        <v>8294</v>
      </c>
      <c r="H24" s="406">
        <v>1</v>
      </c>
      <c r="I24" s="406">
        <v>1</v>
      </c>
      <c r="J24" s="407">
        <v>1</v>
      </c>
    </row>
    <row r="25" spans="1:10" s="402" customFormat="1" ht="12" customHeight="1" x14ac:dyDescent="0.2">
      <c r="B25" s="408" t="s">
        <v>186</v>
      </c>
      <c r="C25" s="406">
        <v>0</v>
      </c>
      <c r="D25" s="406">
        <v>0</v>
      </c>
      <c r="E25" s="406">
        <v>0</v>
      </c>
      <c r="F25" s="406">
        <v>0</v>
      </c>
      <c r="G25" s="406">
        <v>0</v>
      </c>
      <c r="H25" s="406">
        <v>0</v>
      </c>
      <c r="I25" s="406">
        <v>0</v>
      </c>
      <c r="J25" s="407">
        <v>0</v>
      </c>
    </row>
    <row r="26" spans="1:10" s="402" customFormat="1" ht="12" customHeight="1" x14ac:dyDescent="0.2">
      <c r="B26" s="408" t="s">
        <v>187</v>
      </c>
      <c r="C26" s="406">
        <v>1</v>
      </c>
      <c r="D26" s="406">
        <v>2921</v>
      </c>
      <c r="E26" s="406">
        <v>405</v>
      </c>
      <c r="F26" s="406">
        <v>585</v>
      </c>
      <c r="G26" s="406">
        <v>1015</v>
      </c>
      <c r="H26" s="406">
        <v>0</v>
      </c>
      <c r="I26" s="406">
        <v>1</v>
      </c>
      <c r="J26" s="407">
        <v>1</v>
      </c>
    </row>
    <row r="27" spans="1:10" s="402" customFormat="1" ht="12" customHeight="1" x14ac:dyDescent="0.2">
      <c r="B27" s="409" t="s">
        <v>22</v>
      </c>
      <c r="C27" s="409">
        <f>SUM(C19:C26)</f>
        <v>10</v>
      </c>
      <c r="D27" s="409">
        <f t="shared" ref="D27:J27" si="1">SUM(D19:D26)</f>
        <v>177383</v>
      </c>
      <c r="E27" s="409">
        <f t="shared" si="1"/>
        <v>9800</v>
      </c>
      <c r="F27" s="409">
        <f t="shared" si="1"/>
        <v>58280</v>
      </c>
      <c r="G27" s="409">
        <f t="shared" si="1"/>
        <v>47158</v>
      </c>
      <c r="H27" s="409">
        <f t="shared" si="1"/>
        <v>16</v>
      </c>
      <c r="I27" s="409">
        <f t="shared" si="1"/>
        <v>10</v>
      </c>
      <c r="J27" s="409">
        <f t="shared" si="1"/>
        <v>10</v>
      </c>
    </row>
    <row r="28" spans="1:10" s="402" customFormat="1" ht="12" customHeight="1" x14ac:dyDescent="0.2">
      <c r="A28" s="420"/>
      <c r="B28" s="405" t="s">
        <v>153</v>
      </c>
      <c r="C28" s="406"/>
      <c r="D28" s="406"/>
      <c r="E28" s="406"/>
      <c r="F28" s="406"/>
      <c r="G28" s="406"/>
      <c r="H28" s="406"/>
      <c r="I28" s="406"/>
      <c r="J28" s="407"/>
    </row>
    <row r="29" spans="1:10" s="402" customFormat="1" ht="12" customHeight="1" x14ac:dyDescent="0.2">
      <c r="B29" s="408" t="s">
        <v>94</v>
      </c>
      <c r="C29" s="406">
        <v>4</v>
      </c>
      <c r="D29" s="406">
        <v>73978</v>
      </c>
      <c r="E29" s="406">
        <v>2719</v>
      </c>
      <c r="F29" s="406">
        <v>12586</v>
      </c>
      <c r="G29" s="406">
        <v>19170</v>
      </c>
      <c r="H29" s="406">
        <v>5</v>
      </c>
      <c r="I29" s="406">
        <v>4</v>
      </c>
      <c r="J29" s="407">
        <v>4</v>
      </c>
    </row>
    <row r="30" spans="1:10" s="402" customFormat="1" ht="12" customHeight="1" x14ac:dyDescent="0.2">
      <c r="B30" s="408" t="s">
        <v>188</v>
      </c>
      <c r="C30" s="406">
        <v>0</v>
      </c>
      <c r="D30" s="406">
        <v>0</v>
      </c>
      <c r="E30" s="406">
        <v>0</v>
      </c>
      <c r="F30" s="406">
        <v>0</v>
      </c>
      <c r="G30" s="406">
        <v>0</v>
      </c>
      <c r="H30" s="406">
        <v>0</v>
      </c>
      <c r="I30" s="406">
        <v>0</v>
      </c>
      <c r="J30" s="407">
        <v>0</v>
      </c>
    </row>
    <row r="31" spans="1:10" s="402" customFormat="1" ht="12" customHeight="1" x14ac:dyDescent="0.2">
      <c r="B31" s="408" t="s">
        <v>189</v>
      </c>
      <c r="C31" s="406">
        <v>1</v>
      </c>
      <c r="D31" s="406">
        <v>9984</v>
      </c>
      <c r="E31" s="406">
        <v>140</v>
      </c>
      <c r="F31" s="406">
        <v>2484</v>
      </c>
      <c r="G31" s="406">
        <v>2695</v>
      </c>
      <c r="H31" s="406">
        <v>0</v>
      </c>
      <c r="I31" s="406">
        <v>1</v>
      </c>
      <c r="J31" s="407">
        <v>1</v>
      </c>
    </row>
    <row r="32" spans="1:10" s="402" customFormat="1" ht="12" customHeight="1" x14ac:dyDescent="0.2">
      <c r="B32" s="408" t="s">
        <v>95</v>
      </c>
      <c r="C32" s="406">
        <v>0</v>
      </c>
      <c r="D32" s="406">
        <v>0</v>
      </c>
      <c r="E32" s="406">
        <v>0</v>
      </c>
      <c r="F32" s="406">
        <v>0</v>
      </c>
      <c r="G32" s="406">
        <v>0</v>
      </c>
      <c r="H32" s="406">
        <v>0</v>
      </c>
      <c r="I32" s="406">
        <v>0</v>
      </c>
      <c r="J32" s="407">
        <v>0</v>
      </c>
    </row>
    <row r="33" spans="1:10" s="402" customFormat="1" ht="12" customHeight="1" x14ac:dyDescent="0.2">
      <c r="B33" s="408" t="s">
        <v>96</v>
      </c>
      <c r="C33" s="406">
        <v>0</v>
      </c>
      <c r="D33" s="406">
        <v>0</v>
      </c>
      <c r="E33" s="406">
        <v>0</v>
      </c>
      <c r="F33" s="406">
        <v>0</v>
      </c>
      <c r="G33" s="406">
        <v>0</v>
      </c>
      <c r="H33" s="406">
        <v>0</v>
      </c>
      <c r="I33" s="406">
        <v>0</v>
      </c>
      <c r="J33" s="407">
        <v>0</v>
      </c>
    </row>
    <row r="34" spans="1:10" s="402" customFormat="1" ht="12" customHeight="1" x14ac:dyDescent="0.2">
      <c r="B34" s="408" t="s">
        <v>190</v>
      </c>
      <c r="C34" s="406">
        <v>0</v>
      </c>
      <c r="D34" s="406">
        <v>0</v>
      </c>
      <c r="E34" s="406">
        <v>0</v>
      </c>
      <c r="F34" s="406">
        <v>0</v>
      </c>
      <c r="G34" s="406">
        <v>0</v>
      </c>
      <c r="H34" s="406">
        <v>0</v>
      </c>
      <c r="I34" s="406">
        <v>0</v>
      </c>
      <c r="J34" s="407">
        <v>0</v>
      </c>
    </row>
    <row r="35" spans="1:10" s="402" customFormat="1" ht="12" customHeight="1" x14ac:dyDescent="0.2">
      <c r="B35" s="408" t="s">
        <v>191</v>
      </c>
      <c r="C35" s="406">
        <v>1</v>
      </c>
      <c r="D35" s="406">
        <v>12152</v>
      </c>
      <c r="E35" s="406">
        <v>402</v>
      </c>
      <c r="F35" s="406">
        <v>2345</v>
      </c>
      <c r="G35" s="406">
        <v>5405</v>
      </c>
      <c r="H35" s="406">
        <v>2</v>
      </c>
      <c r="I35" s="406">
        <v>1</v>
      </c>
      <c r="J35" s="407">
        <v>1</v>
      </c>
    </row>
    <row r="36" spans="1:10" s="402" customFormat="1" ht="12" customHeight="1" x14ac:dyDescent="0.2">
      <c r="B36" s="409" t="s">
        <v>22</v>
      </c>
      <c r="C36" s="409">
        <f>SUM(C29:C35)</f>
        <v>6</v>
      </c>
      <c r="D36" s="409">
        <f t="shared" ref="D36:J36" si="2">SUM(D29:D35)</f>
        <v>96114</v>
      </c>
      <c r="E36" s="409">
        <f t="shared" si="2"/>
        <v>3261</v>
      </c>
      <c r="F36" s="409">
        <f t="shared" si="2"/>
        <v>17415</v>
      </c>
      <c r="G36" s="409">
        <f t="shared" si="2"/>
        <v>27270</v>
      </c>
      <c r="H36" s="409">
        <f t="shared" si="2"/>
        <v>7</v>
      </c>
      <c r="I36" s="409">
        <f t="shared" si="2"/>
        <v>6</v>
      </c>
      <c r="J36" s="409">
        <f t="shared" si="2"/>
        <v>6</v>
      </c>
    </row>
    <row r="37" spans="1:10" s="402" customFormat="1" ht="12" customHeight="1" x14ac:dyDescent="0.2">
      <c r="A37" s="420"/>
      <c r="B37" s="405" t="s">
        <v>97</v>
      </c>
      <c r="C37" s="406"/>
      <c r="D37" s="406"/>
      <c r="E37" s="406"/>
      <c r="F37" s="406"/>
      <c r="G37" s="406"/>
      <c r="H37" s="406"/>
      <c r="I37" s="406"/>
      <c r="J37" s="407"/>
    </row>
    <row r="38" spans="1:10" s="402" customFormat="1" ht="12" customHeight="1" x14ac:dyDescent="0.2">
      <c r="B38" s="408" t="s">
        <v>98</v>
      </c>
      <c r="C38" s="406">
        <v>0</v>
      </c>
      <c r="D38" s="406">
        <v>0</v>
      </c>
      <c r="E38" s="406">
        <v>0</v>
      </c>
      <c r="F38" s="406">
        <v>0</v>
      </c>
      <c r="G38" s="406">
        <v>0</v>
      </c>
      <c r="H38" s="406">
        <v>0</v>
      </c>
      <c r="I38" s="406">
        <v>0</v>
      </c>
      <c r="J38" s="407">
        <v>0</v>
      </c>
    </row>
    <row r="39" spans="1:10" s="402" customFormat="1" ht="12" customHeight="1" x14ac:dyDescent="0.2">
      <c r="B39" s="408" t="s">
        <v>99</v>
      </c>
      <c r="C39" s="406">
        <v>0</v>
      </c>
      <c r="D39" s="406">
        <v>0</v>
      </c>
      <c r="E39" s="406">
        <v>0</v>
      </c>
      <c r="F39" s="406">
        <v>0</v>
      </c>
      <c r="G39" s="406">
        <v>0</v>
      </c>
      <c r="H39" s="406">
        <v>0</v>
      </c>
      <c r="I39" s="406">
        <v>0</v>
      </c>
      <c r="J39" s="407">
        <v>0</v>
      </c>
    </row>
    <row r="40" spans="1:10" s="402" customFormat="1" ht="12" customHeight="1" x14ac:dyDescent="0.2">
      <c r="B40" s="408" t="s">
        <v>100</v>
      </c>
      <c r="C40" s="406">
        <v>1</v>
      </c>
      <c r="D40" s="406">
        <v>31927</v>
      </c>
      <c r="E40" s="406">
        <v>681</v>
      </c>
      <c r="F40" s="406">
        <v>3338</v>
      </c>
      <c r="G40" s="406">
        <v>3459</v>
      </c>
      <c r="H40" s="406">
        <v>2</v>
      </c>
      <c r="I40" s="406">
        <v>1</v>
      </c>
      <c r="J40" s="407">
        <v>1</v>
      </c>
    </row>
    <row r="41" spans="1:10" s="402" customFormat="1" ht="12" customHeight="1" x14ac:dyDescent="0.2">
      <c r="B41" s="408" t="s">
        <v>192</v>
      </c>
      <c r="C41" s="411">
        <v>0</v>
      </c>
      <c r="D41" s="406">
        <v>0</v>
      </c>
      <c r="E41" s="406">
        <v>0</v>
      </c>
      <c r="F41" s="406">
        <v>0</v>
      </c>
      <c r="G41" s="406">
        <v>0</v>
      </c>
      <c r="H41" s="406">
        <v>0</v>
      </c>
      <c r="I41" s="406">
        <v>0</v>
      </c>
      <c r="J41" s="407">
        <v>0</v>
      </c>
    </row>
    <row r="42" spans="1:10" s="402" customFormat="1" ht="12" customHeight="1" x14ac:dyDescent="0.2">
      <c r="B42" s="408" t="s">
        <v>193</v>
      </c>
      <c r="C42" s="411">
        <v>1</v>
      </c>
      <c r="D42" s="406">
        <v>3549</v>
      </c>
      <c r="E42" s="406">
        <v>49</v>
      </c>
      <c r="F42" s="406">
        <v>826</v>
      </c>
      <c r="G42" s="406">
        <v>896</v>
      </c>
      <c r="H42" s="406">
        <v>2</v>
      </c>
      <c r="I42" s="406">
        <v>1</v>
      </c>
      <c r="J42" s="407">
        <v>1</v>
      </c>
    </row>
    <row r="43" spans="1:10" s="402" customFormat="1" ht="12" customHeight="1" x14ac:dyDescent="0.2">
      <c r="B43" s="409" t="s">
        <v>22</v>
      </c>
      <c r="C43" s="409">
        <f>SUM(C38:C42)</f>
        <v>2</v>
      </c>
      <c r="D43" s="409">
        <f t="shared" ref="D43:J43" si="3">SUM(D38:D42)</f>
        <v>35476</v>
      </c>
      <c r="E43" s="409">
        <f t="shared" si="3"/>
        <v>730</v>
      </c>
      <c r="F43" s="409">
        <f t="shared" si="3"/>
        <v>4164</v>
      </c>
      <c r="G43" s="409">
        <f t="shared" si="3"/>
        <v>4355</v>
      </c>
      <c r="H43" s="409">
        <f t="shared" si="3"/>
        <v>4</v>
      </c>
      <c r="I43" s="409">
        <f t="shared" si="3"/>
        <v>2</v>
      </c>
      <c r="J43" s="409">
        <f t="shared" si="3"/>
        <v>2</v>
      </c>
    </row>
    <row r="44" spans="1:10" s="402" customFormat="1" ht="12" customHeight="1" x14ac:dyDescent="0.2">
      <c r="A44" s="420"/>
      <c r="B44" s="405" t="s">
        <v>154</v>
      </c>
      <c r="C44" s="406"/>
      <c r="D44" s="406"/>
      <c r="E44" s="406"/>
      <c r="F44" s="406"/>
      <c r="G44" s="406"/>
      <c r="H44" s="406"/>
      <c r="I44" s="406"/>
      <c r="J44" s="407"/>
    </row>
    <row r="45" spans="1:10" s="402" customFormat="1" ht="12" customHeight="1" x14ac:dyDescent="0.2">
      <c r="B45" s="408" t="s">
        <v>194</v>
      </c>
      <c r="C45" s="406">
        <v>1</v>
      </c>
      <c r="D45" s="406">
        <v>32685</v>
      </c>
      <c r="E45" s="406">
        <v>864</v>
      </c>
      <c r="F45" s="406">
        <v>4792</v>
      </c>
      <c r="G45" s="406">
        <v>4192</v>
      </c>
      <c r="H45" s="406">
        <v>2</v>
      </c>
      <c r="I45" s="406">
        <v>1</v>
      </c>
      <c r="J45" s="407">
        <v>1</v>
      </c>
    </row>
    <row r="46" spans="1:10" s="402" customFormat="1" ht="12" customHeight="1" x14ac:dyDescent="0.2">
      <c r="B46" s="408" t="s">
        <v>195</v>
      </c>
      <c r="C46" s="406">
        <v>1</v>
      </c>
      <c r="D46" s="406">
        <v>9320</v>
      </c>
      <c r="E46" s="406">
        <v>205</v>
      </c>
      <c r="F46" s="406">
        <v>4397</v>
      </c>
      <c r="G46" s="406">
        <v>7594</v>
      </c>
      <c r="H46" s="406">
        <v>1</v>
      </c>
      <c r="I46" s="406">
        <v>1</v>
      </c>
      <c r="J46" s="407">
        <v>1</v>
      </c>
    </row>
    <row r="47" spans="1:10" s="402" customFormat="1" ht="12" customHeight="1" x14ac:dyDescent="0.2">
      <c r="B47" s="408" t="s">
        <v>102</v>
      </c>
      <c r="C47" s="406">
        <v>1</v>
      </c>
      <c r="D47" s="406">
        <v>76738</v>
      </c>
      <c r="E47" s="406">
        <v>943</v>
      </c>
      <c r="F47" s="406">
        <v>6732</v>
      </c>
      <c r="G47" s="406">
        <v>9622</v>
      </c>
      <c r="H47" s="406">
        <v>3</v>
      </c>
      <c r="I47" s="406">
        <v>1</v>
      </c>
      <c r="J47" s="407">
        <v>1</v>
      </c>
    </row>
    <row r="48" spans="1:10" s="402" customFormat="1" ht="12" customHeight="1" x14ac:dyDescent="0.2">
      <c r="B48" s="408" t="s">
        <v>196</v>
      </c>
      <c r="C48" s="406">
        <v>0</v>
      </c>
      <c r="D48" s="406">
        <v>0</v>
      </c>
      <c r="E48" s="406">
        <v>0</v>
      </c>
      <c r="F48" s="406">
        <v>0</v>
      </c>
      <c r="G48" s="406">
        <v>0</v>
      </c>
      <c r="H48" s="406">
        <v>0</v>
      </c>
      <c r="I48" s="406">
        <v>0</v>
      </c>
      <c r="J48" s="407">
        <v>0</v>
      </c>
    </row>
    <row r="49" spans="2:10" s="402" customFormat="1" ht="12" customHeight="1" x14ac:dyDescent="0.2">
      <c r="B49" s="408" t="s">
        <v>197</v>
      </c>
      <c r="C49" s="406">
        <v>0</v>
      </c>
      <c r="D49" s="406">
        <v>0</v>
      </c>
      <c r="E49" s="406">
        <v>0</v>
      </c>
      <c r="F49" s="406">
        <v>0</v>
      </c>
      <c r="G49" s="406">
        <v>0</v>
      </c>
      <c r="H49" s="406">
        <v>0</v>
      </c>
      <c r="I49" s="406">
        <v>0</v>
      </c>
      <c r="J49" s="407">
        <v>0</v>
      </c>
    </row>
    <row r="50" spans="2:10" s="402" customFormat="1" ht="12" customHeight="1" x14ac:dyDescent="0.2">
      <c r="B50" s="408" t="s">
        <v>198</v>
      </c>
      <c r="C50" s="406">
        <v>1</v>
      </c>
      <c r="D50" s="406">
        <v>3668</v>
      </c>
      <c r="E50" s="406">
        <v>0</v>
      </c>
      <c r="F50" s="406">
        <v>0</v>
      </c>
      <c r="G50" s="406">
        <v>0</v>
      </c>
      <c r="H50" s="406">
        <v>0</v>
      </c>
      <c r="I50" s="406">
        <v>0</v>
      </c>
      <c r="J50" s="407">
        <v>0</v>
      </c>
    </row>
    <row r="51" spans="2:10" s="402" customFormat="1" ht="12" customHeight="1" x14ac:dyDescent="0.2">
      <c r="B51" s="409" t="s">
        <v>22</v>
      </c>
      <c r="C51" s="409">
        <f>SUM(C45:C50)</f>
        <v>4</v>
      </c>
      <c r="D51" s="409">
        <f t="shared" ref="D51:J51" si="4">SUM(D45:D50)</f>
        <v>122411</v>
      </c>
      <c r="E51" s="409">
        <f t="shared" si="4"/>
        <v>2012</v>
      </c>
      <c r="F51" s="409">
        <f t="shared" si="4"/>
        <v>15921</v>
      </c>
      <c r="G51" s="409">
        <f t="shared" si="4"/>
        <v>21408</v>
      </c>
      <c r="H51" s="409">
        <f t="shared" si="4"/>
        <v>6</v>
      </c>
      <c r="I51" s="409">
        <f t="shared" si="4"/>
        <v>3</v>
      </c>
      <c r="J51" s="409">
        <f t="shared" si="4"/>
        <v>3</v>
      </c>
    </row>
    <row r="52" spans="2:10" s="402" customFormat="1" ht="12" customHeight="1" x14ac:dyDescent="0.2">
      <c r="B52" s="412"/>
      <c r="C52" s="412"/>
      <c r="D52" s="412"/>
      <c r="E52" s="412"/>
      <c r="F52" s="412"/>
      <c r="G52" s="412"/>
      <c r="H52" s="412"/>
      <c r="I52" s="412"/>
      <c r="J52" s="412"/>
    </row>
    <row r="53" spans="2:10" s="402" customFormat="1" ht="12" customHeight="1" x14ac:dyDescent="0.2">
      <c r="B53" s="412"/>
      <c r="C53" s="412"/>
      <c r="D53" s="412"/>
      <c r="E53" s="412"/>
      <c r="F53" s="412"/>
      <c r="G53" s="412"/>
      <c r="H53" s="412"/>
      <c r="I53" s="412"/>
      <c r="J53" s="412"/>
    </row>
    <row r="54" spans="2:10" s="402" customFormat="1" ht="12" customHeight="1" x14ac:dyDescent="0.2">
      <c r="B54" s="406"/>
      <c r="C54" s="406"/>
      <c r="D54" s="406"/>
      <c r="E54" s="406"/>
      <c r="F54" s="406"/>
      <c r="G54" s="406"/>
      <c r="H54" s="406"/>
      <c r="I54" s="406"/>
      <c r="J54" s="406"/>
    </row>
    <row r="55" spans="2:10" s="402" customFormat="1" ht="12" customHeight="1" x14ac:dyDescent="0.2">
      <c r="B55" s="406"/>
      <c r="C55" s="406"/>
      <c r="D55" s="406"/>
      <c r="E55" s="406"/>
      <c r="F55" s="406"/>
      <c r="G55" s="406"/>
      <c r="H55" s="406"/>
      <c r="I55" s="406"/>
      <c r="J55" s="406"/>
    </row>
    <row r="56" spans="2:10" s="402" customFormat="1" ht="12" customHeight="1" x14ac:dyDescent="0.2">
      <c r="B56" s="406"/>
      <c r="C56" s="406"/>
      <c r="D56" s="406"/>
      <c r="E56" s="406"/>
      <c r="F56" s="406"/>
      <c r="G56" s="406"/>
      <c r="H56" s="406"/>
      <c r="I56" s="406"/>
      <c r="J56" s="406"/>
    </row>
    <row r="57" spans="2:10" s="402" customFormat="1" ht="12" customHeight="1" x14ac:dyDescent="0.2">
      <c r="B57" s="406"/>
      <c r="C57" s="406"/>
      <c r="D57" s="406"/>
      <c r="E57" s="406"/>
      <c r="F57" s="406"/>
      <c r="G57" s="406"/>
      <c r="H57" s="406"/>
      <c r="I57" s="406"/>
      <c r="J57" s="406"/>
    </row>
    <row r="58" spans="2:10" s="402" customFormat="1" ht="12" customHeight="1" x14ac:dyDescent="0.2">
      <c r="B58" s="406"/>
      <c r="C58" s="406"/>
      <c r="D58" s="406"/>
      <c r="E58" s="406"/>
      <c r="F58" s="406"/>
      <c r="G58" s="406"/>
      <c r="H58" s="406"/>
      <c r="I58" s="406"/>
      <c r="J58" s="406"/>
    </row>
    <row r="59" spans="2:10" s="402" customFormat="1" ht="12" customHeight="1" x14ac:dyDescent="0.2">
      <c r="B59" s="406"/>
      <c r="C59" s="406"/>
      <c r="D59" s="406"/>
      <c r="E59" s="406"/>
      <c r="F59" s="406"/>
      <c r="G59" s="406"/>
      <c r="H59" s="406"/>
      <c r="I59" s="406"/>
      <c r="J59" s="406"/>
    </row>
    <row r="60" spans="2:10" s="402" customFormat="1" ht="12" customHeight="1" x14ac:dyDescent="0.2">
      <c r="B60" s="406"/>
      <c r="C60" s="406"/>
      <c r="D60" s="406"/>
      <c r="E60" s="406"/>
      <c r="F60" s="406"/>
      <c r="G60" s="406"/>
      <c r="H60" s="406"/>
      <c r="I60" s="406"/>
      <c r="J60" s="406"/>
    </row>
    <row r="61" spans="2:10" s="402" customFormat="1" ht="12" customHeight="1" x14ac:dyDescent="0.2">
      <c r="B61" s="406"/>
      <c r="C61" s="406"/>
      <c r="D61" s="406"/>
      <c r="E61" s="406"/>
      <c r="F61" s="406"/>
      <c r="G61" s="406"/>
      <c r="H61" s="406"/>
      <c r="I61" s="406"/>
      <c r="J61" s="406"/>
    </row>
    <row r="62" spans="2:10" s="402" customFormat="1" ht="12" customHeight="1" x14ac:dyDescent="0.2">
      <c r="B62" s="406"/>
      <c r="C62" s="406"/>
      <c r="D62" s="406"/>
      <c r="E62" s="406"/>
      <c r="F62" s="406"/>
      <c r="G62" s="406"/>
      <c r="H62" s="406"/>
      <c r="I62" s="406"/>
      <c r="J62" s="406"/>
    </row>
    <row r="63" spans="2:10" s="402" customFormat="1" ht="12" customHeight="1" x14ac:dyDescent="0.2">
      <c r="B63" s="411"/>
      <c r="C63" s="406"/>
      <c r="D63" s="406"/>
      <c r="E63" s="406"/>
      <c r="F63" s="406"/>
      <c r="G63" s="406"/>
      <c r="H63" s="406"/>
      <c r="I63" s="406"/>
      <c r="J63" s="406"/>
    </row>
    <row r="64" spans="2:10" s="402" customFormat="1" ht="12" customHeight="1" x14ac:dyDescent="0.2">
      <c r="B64" s="999"/>
      <c r="C64" s="999"/>
      <c r="D64" s="999"/>
      <c r="E64" s="999"/>
      <c r="F64" s="999"/>
      <c r="G64" s="999"/>
      <c r="H64" s="999"/>
      <c r="I64" s="999"/>
      <c r="J64" s="999"/>
    </row>
    <row r="65" spans="1:12" s="402" customFormat="1" ht="12" customHeight="1" x14ac:dyDescent="0.2">
      <c r="B65" s="556"/>
      <c r="C65" s="556"/>
      <c r="D65" s="556"/>
      <c r="E65" s="556"/>
      <c r="F65" s="556"/>
      <c r="G65" s="556"/>
      <c r="H65" s="556"/>
      <c r="I65" s="556"/>
      <c r="J65" s="556"/>
    </row>
    <row r="66" spans="1:12" s="402" customFormat="1" ht="12" customHeight="1" x14ac:dyDescent="0.2">
      <c r="B66" s="556"/>
      <c r="C66" s="556"/>
      <c r="D66" s="556"/>
      <c r="E66" s="556"/>
      <c r="F66" s="556"/>
      <c r="G66" s="556"/>
      <c r="H66" s="556"/>
      <c r="I66" s="556"/>
      <c r="J66" s="556"/>
    </row>
    <row r="67" spans="1:12" s="402" customFormat="1" ht="12" customHeight="1" x14ac:dyDescent="0.2">
      <c r="B67" s="556"/>
      <c r="C67" s="556"/>
      <c r="D67" s="556"/>
      <c r="E67" s="556"/>
      <c r="F67" s="556"/>
      <c r="G67" s="556"/>
      <c r="H67" s="556"/>
      <c r="I67" s="556"/>
      <c r="J67" s="556"/>
    </row>
    <row r="68" spans="1:12" s="402" customFormat="1" ht="12" customHeight="1" x14ac:dyDescent="0.2">
      <c r="B68" s="556"/>
      <c r="C68" s="556"/>
      <c r="D68" s="556"/>
      <c r="E68" s="556"/>
      <c r="F68" s="556"/>
      <c r="G68" s="556"/>
      <c r="H68" s="556"/>
      <c r="I68" s="556"/>
      <c r="J68" s="556"/>
    </row>
    <row r="69" spans="1:12" s="402" customFormat="1" ht="12" customHeight="1" x14ac:dyDescent="0.2">
      <c r="B69" s="556"/>
      <c r="C69" s="556"/>
      <c r="D69" s="556"/>
      <c r="E69" s="556"/>
      <c r="F69" s="556"/>
      <c r="G69" s="556"/>
      <c r="H69" s="556"/>
      <c r="I69" s="556"/>
      <c r="J69" s="556"/>
    </row>
    <row r="70" spans="1:12" s="402" customFormat="1" ht="12" customHeight="1" x14ac:dyDescent="0.2">
      <c r="B70" s="556"/>
      <c r="C70" s="556"/>
      <c r="D70" s="556"/>
      <c r="E70" s="556"/>
      <c r="F70" s="556"/>
      <c r="G70" s="556"/>
      <c r="H70" s="556"/>
      <c r="I70" s="556"/>
      <c r="J70" s="556"/>
    </row>
    <row r="71" spans="1:12" s="402" customFormat="1" ht="12" customHeight="1" x14ac:dyDescent="0.2">
      <c r="B71" s="413"/>
      <c r="C71" s="406"/>
      <c r="D71" s="406"/>
      <c r="E71" s="406"/>
      <c r="F71" s="406"/>
      <c r="G71" s="406"/>
      <c r="H71" s="406"/>
      <c r="I71" s="999"/>
      <c r="J71" s="999"/>
    </row>
    <row r="72" spans="1:12" s="402" customFormat="1" ht="12" customHeight="1" x14ac:dyDescent="0.2">
      <c r="B72" s="929" t="s">
        <v>84</v>
      </c>
      <c r="C72" s="929" t="s">
        <v>85</v>
      </c>
      <c r="D72" s="929" t="s">
        <v>67</v>
      </c>
      <c r="E72" s="929" t="s">
        <v>68</v>
      </c>
      <c r="F72" s="929" t="s">
        <v>69</v>
      </c>
      <c r="G72" s="929" t="s">
        <v>70</v>
      </c>
      <c r="H72" s="929" t="s">
        <v>222</v>
      </c>
      <c r="I72" s="932" t="s">
        <v>223</v>
      </c>
      <c r="J72" s="933"/>
      <c r="K72" s="401"/>
      <c r="L72" s="401"/>
    </row>
    <row r="73" spans="1:12" s="402" customFormat="1" ht="12" customHeight="1" x14ac:dyDescent="0.2">
      <c r="B73" s="930"/>
      <c r="C73" s="930"/>
      <c r="D73" s="930"/>
      <c r="E73" s="930"/>
      <c r="F73" s="930"/>
      <c r="G73" s="930"/>
      <c r="H73" s="930"/>
      <c r="I73" s="934"/>
      <c r="J73" s="935"/>
      <c r="K73" s="401"/>
      <c r="L73" s="401"/>
    </row>
    <row r="74" spans="1:12" s="402" customFormat="1" ht="12" customHeight="1" x14ac:dyDescent="0.2">
      <c r="B74" s="931"/>
      <c r="C74" s="931"/>
      <c r="D74" s="931"/>
      <c r="E74" s="931"/>
      <c r="F74" s="931"/>
      <c r="G74" s="931"/>
      <c r="H74" s="931"/>
      <c r="I74" s="88" t="s">
        <v>73</v>
      </c>
      <c r="J74" s="89" t="s">
        <v>86</v>
      </c>
      <c r="K74" s="401"/>
      <c r="L74" s="401"/>
    </row>
    <row r="75" spans="1:12" s="402" customFormat="1" ht="12" customHeight="1" x14ac:dyDescent="0.2">
      <c r="B75" s="414">
        <v>1</v>
      </c>
      <c r="C75" s="415">
        <v>2</v>
      </c>
      <c r="D75" s="415">
        <v>3</v>
      </c>
      <c r="E75" s="415">
        <v>4</v>
      </c>
      <c r="F75" s="415">
        <v>5</v>
      </c>
      <c r="G75" s="415">
        <v>6</v>
      </c>
      <c r="H75" s="415">
        <v>7</v>
      </c>
      <c r="I75" s="415">
        <v>8</v>
      </c>
      <c r="J75" s="415">
        <v>9</v>
      </c>
      <c r="K75" s="401"/>
      <c r="L75" s="401"/>
    </row>
    <row r="76" spans="1:12" s="402" customFormat="1" ht="12" customHeight="1" x14ac:dyDescent="0.2">
      <c r="A76" s="420"/>
      <c r="B76" s="405" t="s">
        <v>155</v>
      </c>
      <c r="C76" s="406"/>
      <c r="D76" s="406"/>
      <c r="E76" s="406"/>
      <c r="F76" s="406"/>
      <c r="G76" s="406"/>
      <c r="H76" s="406"/>
      <c r="I76" s="406"/>
      <c r="J76" s="407"/>
      <c r="K76" s="401"/>
      <c r="L76" s="401"/>
    </row>
    <row r="77" spans="1:12" s="402" customFormat="1" ht="12" customHeight="1" x14ac:dyDescent="0.2">
      <c r="B77" s="408" t="s">
        <v>199</v>
      </c>
      <c r="C77" s="406">
        <v>0</v>
      </c>
      <c r="D77" s="406">
        <v>0</v>
      </c>
      <c r="E77" s="406">
        <v>0</v>
      </c>
      <c r="F77" s="406">
        <v>0</v>
      </c>
      <c r="G77" s="406">
        <v>0</v>
      </c>
      <c r="H77" s="406">
        <v>0</v>
      </c>
      <c r="I77" s="406">
        <v>0</v>
      </c>
      <c r="J77" s="407">
        <v>0</v>
      </c>
      <c r="K77" s="401"/>
      <c r="L77" s="401"/>
    </row>
    <row r="78" spans="1:12" s="402" customFormat="1" ht="12" customHeight="1" x14ac:dyDescent="0.2">
      <c r="B78" s="408" t="s">
        <v>200</v>
      </c>
      <c r="C78" s="406">
        <v>1</v>
      </c>
      <c r="D78" s="406">
        <v>32542</v>
      </c>
      <c r="E78" s="406">
        <v>287</v>
      </c>
      <c r="F78" s="406">
        <v>3018</v>
      </c>
      <c r="G78" s="406">
        <v>4500</v>
      </c>
      <c r="H78" s="406">
        <v>1</v>
      </c>
      <c r="I78" s="406">
        <v>1</v>
      </c>
      <c r="J78" s="407">
        <v>1</v>
      </c>
      <c r="K78" s="401"/>
      <c r="L78" s="401"/>
    </row>
    <row r="79" spans="1:12" s="402" customFormat="1" ht="12" customHeight="1" x14ac:dyDescent="0.2">
      <c r="B79" s="408" t="s">
        <v>201</v>
      </c>
      <c r="C79" s="406">
        <v>1</v>
      </c>
      <c r="D79" s="406">
        <v>1987</v>
      </c>
      <c r="E79" s="406">
        <v>282</v>
      </c>
      <c r="F79" s="406">
        <v>2069</v>
      </c>
      <c r="G79" s="406">
        <v>3067</v>
      </c>
      <c r="H79" s="406">
        <v>2</v>
      </c>
      <c r="I79" s="406">
        <v>1</v>
      </c>
      <c r="J79" s="407">
        <v>1</v>
      </c>
      <c r="K79" s="401"/>
      <c r="L79" s="401"/>
    </row>
    <row r="80" spans="1:12" s="402" customFormat="1" ht="12" customHeight="1" x14ac:dyDescent="0.2">
      <c r="B80" s="408" t="s">
        <v>202</v>
      </c>
      <c r="C80" s="406">
        <v>0</v>
      </c>
      <c r="D80" s="406">
        <v>0</v>
      </c>
      <c r="E80" s="406">
        <v>0</v>
      </c>
      <c r="F80" s="406">
        <v>0</v>
      </c>
      <c r="G80" s="406">
        <v>0</v>
      </c>
      <c r="H80" s="406">
        <v>0</v>
      </c>
      <c r="I80" s="406">
        <v>0</v>
      </c>
      <c r="J80" s="407">
        <v>0</v>
      </c>
      <c r="K80" s="401"/>
      <c r="L80" s="401"/>
    </row>
    <row r="81" spans="1:12" s="402" customFormat="1" ht="12" customHeight="1" x14ac:dyDescent="0.2">
      <c r="B81" s="408" t="s">
        <v>203</v>
      </c>
      <c r="C81" s="406">
        <v>1</v>
      </c>
      <c r="D81" s="406">
        <v>35005</v>
      </c>
      <c r="E81" s="406">
        <v>199</v>
      </c>
      <c r="F81" s="406">
        <v>8661</v>
      </c>
      <c r="G81" s="406">
        <v>1636</v>
      </c>
      <c r="H81" s="406">
        <v>2</v>
      </c>
      <c r="I81" s="406">
        <v>1</v>
      </c>
      <c r="J81" s="407">
        <v>1</v>
      </c>
      <c r="K81" s="401"/>
      <c r="L81" s="401"/>
    </row>
    <row r="82" spans="1:12" s="402" customFormat="1" ht="12" customHeight="1" x14ac:dyDescent="0.2">
      <c r="B82" s="408" t="s">
        <v>104</v>
      </c>
      <c r="C82" s="406">
        <v>1</v>
      </c>
      <c r="D82" s="406">
        <v>48263</v>
      </c>
      <c r="E82" s="406">
        <v>1655</v>
      </c>
      <c r="F82" s="406">
        <v>21904</v>
      </c>
      <c r="G82" s="406">
        <v>11338</v>
      </c>
      <c r="H82" s="406">
        <v>5</v>
      </c>
      <c r="I82" s="406">
        <v>1</v>
      </c>
      <c r="J82" s="407">
        <v>1</v>
      </c>
      <c r="K82" s="401"/>
      <c r="L82" s="401"/>
    </row>
    <row r="83" spans="1:12" s="402" customFormat="1" ht="12" customHeight="1" x14ac:dyDescent="0.2">
      <c r="B83" s="408" t="s">
        <v>204</v>
      </c>
      <c r="C83" s="406">
        <v>1</v>
      </c>
      <c r="D83" s="406">
        <v>6663</v>
      </c>
      <c r="E83" s="406">
        <v>340</v>
      </c>
      <c r="F83" s="406">
        <v>1460</v>
      </c>
      <c r="G83" s="406">
        <v>1906</v>
      </c>
      <c r="H83" s="406">
        <v>1</v>
      </c>
      <c r="I83" s="406">
        <v>1</v>
      </c>
      <c r="J83" s="407">
        <v>1</v>
      </c>
      <c r="K83" s="401"/>
      <c r="L83" s="401"/>
    </row>
    <row r="84" spans="1:12" s="402" customFormat="1" ht="12" customHeight="1" x14ac:dyDescent="0.2">
      <c r="B84" s="409" t="s">
        <v>22</v>
      </c>
      <c r="C84" s="409">
        <f>SUM(C77:C83)</f>
        <v>5</v>
      </c>
      <c r="D84" s="409">
        <f t="shared" ref="D84:J84" si="5">SUM(D77:D83)</f>
        <v>124460</v>
      </c>
      <c r="E84" s="409">
        <f t="shared" si="5"/>
        <v>2763</v>
      </c>
      <c r="F84" s="409">
        <f t="shared" si="5"/>
        <v>37112</v>
      </c>
      <c r="G84" s="409">
        <f t="shared" si="5"/>
        <v>22447</v>
      </c>
      <c r="H84" s="409">
        <f t="shared" si="5"/>
        <v>11</v>
      </c>
      <c r="I84" s="409">
        <f t="shared" si="5"/>
        <v>5</v>
      </c>
      <c r="J84" s="409">
        <f t="shared" si="5"/>
        <v>5</v>
      </c>
      <c r="K84" s="401"/>
      <c r="L84" s="401"/>
    </row>
    <row r="85" spans="1:12" s="402" customFormat="1" ht="12" customHeight="1" x14ac:dyDescent="0.2">
      <c r="A85" s="420"/>
      <c r="B85" s="405" t="s">
        <v>156</v>
      </c>
      <c r="C85" s="406"/>
      <c r="D85" s="406"/>
      <c r="E85" s="406"/>
      <c r="F85" s="406"/>
      <c r="G85" s="406"/>
      <c r="H85" s="406"/>
      <c r="I85" s="406"/>
      <c r="J85" s="407"/>
    </row>
    <row r="86" spans="1:12" s="402" customFormat="1" ht="12" customHeight="1" x14ac:dyDescent="0.2">
      <c r="B86" s="408" t="s">
        <v>205</v>
      </c>
      <c r="C86" s="406">
        <v>1</v>
      </c>
      <c r="D86" s="406">
        <v>27158</v>
      </c>
      <c r="E86" s="406">
        <v>211</v>
      </c>
      <c r="F86" s="406">
        <v>456</v>
      </c>
      <c r="G86" s="406">
        <v>1381</v>
      </c>
      <c r="H86" s="406">
        <v>1</v>
      </c>
      <c r="I86" s="406">
        <v>1</v>
      </c>
      <c r="J86" s="407">
        <v>1</v>
      </c>
    </row>
    <row r="87" spans="1:12" s="402" customFormat="1" ht="12" customHeight="1" x14ac:dyDescent="0.2">
      <c r="B87" s="408" t="s">
        <v>106</v>
      </c>
      <c r="C87" s="406">
        <v>0</v>
      </c>
      <c r="D87" s="406">
        <v>0</v>
      </c>
      <c r="E87" s="406">
        <v>0</v>
      </c>
      <c r="F87" s="406">
        <v>0</v>
      </c>
      <c r="G87" s="406">
        <v>0</v>
      </c>
      <c r="H87" s="406">
        <v>0</v>
      </c>
      <c r="I87" s="406">
        <v>0</v>
      </c>
      <c r="J87" s="407">
        <v>0</v>
      </c>
    </row>
    <row r="88" spans="1:12" s="402" customFormat="1" ht="12" customHeight="1" x14ac:dyDescent="0.2">
      <c r="B88" s="408" t="s">
        <v>206</v>
      </c>
      <c r="C88" s="406">
        <v>0</v>
      </c>
      <c r="D88" s="406">
        <v>0</v>
      </c>
      <c r="E88" s="406">
        <v>0</v>
      </c>
      <c r="F88" s="406">
        <v>0</v>
      </c>
      <c r="G88" s="406">
        <v>0</v>
      </c>
      <c r="H88" s="406">
        <v>0</v>
      </c>
      <c r="I88" s="406">
        <v>0</v>
      </c>
      <c r="J88" s="407">
        <v>0</v>
      </c>
    </row>
    <row r="89" spans="1:12" s="402" customFormat="1" ht="12" customHeight="1" x14ac:dyDescent="0.2">
      <c r="B89" s="408" t="s">
        <v>207</v>
      </c>
      <c r="C89" s="406">
        <v>1</v>
      </c>
      <c r="D89" s="406">
        <v>12439</v>
      </c>
      <c r="E89" s="406">
        <v>117</v>
      </c>
      <c r="F89" s="406">
        <v>392</v>
      </c>
      <c r="G89" s="406">
        <v>191</v>
      </c>
      <c r="H89" s="406">
        <v>1</v>
      </c>
      <c r="I89" s="406">
        <v>1</v>
      </c>
      <c r="J89" s="407">
        <v>1</v>
      </c>
    </row>
    <row r="90" spans="1:12" s="402" customFormat="1" ht="12" customHeight="1" x14ac:dyDescent="0.2">
      <c r="B90" s="409" t="s">
        <v>22</v>
      </c>
      <c r="C90" s="409">
        <f>SUM(C86:C89)</f>
        <v>2</v>
      </c>
      <c r="D90" s="409">
        <f t="shared" ref="D90:J90" si="6">SUM(D86:D89)</f>
        <v>39597</v>
      </c>
      <c r="E90" s="409">
        <f t="shared" si="6"/>
        <v>328</v>
      </c>
      <c r="F90" s="409">
        <f t="shared" si="6"/>
        <v>848</v>
      </c>
      <c r="G90" s="409">
        <f t="shared" si="6"/>
        <v>1572</v>
      </c>
      <c r="H90" s="409">
        <f t="shared" si="6"/>
        <v>2</v>
      </c>
      <c r="I90" s="409">
        <f t="shared" si="6"/>
        <v>2</v>
      </c>
      <c r="J90" s="409">
        <f t="shared" si="6"/>
        <v>2</v>
      </c>
    </row>
    <row r="91" spans="1:12" s="402" customFormat="1" ht="12" customHeight="1" x14ac:dyDescent="0.2">
      <c r="A91" s="420"/>
      <c r="B91" s="405" t="s">
        <v>157</v>
      </c>
      <c r="C91" s="406"/>
      <c r="D91" s="406"/>
      <c r="E91" s="406"/>
      <c r="F91" s="406"/>
      <c r="G91" s="406"/>
      <c r="H91" s="406"/>
      <c r="I91" s="406"/>
      <c r="J91" s="407"/>
    </row>
    <row r="92" spans="1:12" s="402" customFormat="1" ht="12" customHeight="1" x14ac:dyDescent="0.2">
      <c r="B92" s="408" t="s">
        <v>208</v>
      </c>
      <c r="C92" s="406">
        <v>1</v>
      </c>
      <c r="D92" s="406">
        <v>19080</v>
      </c>
      <c r="E92" s="406">
        <v>329</v>
      </c>
      <c r="F92" s="406">
        <v>2562</v>
      </c>
      <c r="G92" s="406">
        <v>5002</v>
      </c>
      <c r="H92" s="406">
        <v>1</v>
      </c>
      <c r="I92" s="406">
        <v>1</v>
      </c>
      <c r="J92" s="407">
        <v>1</v>
      </c>
    </row>
    <row r="93" spans="1:12" s="402" customFormat="1" ht="12" customHeight="1" x14ac:dyDescent="0.2">
      <c r="B93" s="408" t="s">
        <v>209</v>
      </c>
      <c r="C93" s="406">
        <v>1</v>
      </c>
      <c r="D93" s="406">
        <v>2687</v>
      </c>
      <c r="E93" s="406">
        <v>505</v>
      </c>
      <c r="F93" s="406">
        <v>931</v>
      </c>
      <c r="G93" s="406">
        <v>4581</v>
      </c>
      <c r="H93" s="406">
        <v>2</v>
      </c>
      <c r="I93" s="406">
        <v>1</v>
      </c>
      <c r="J93" s="407">
        <v>1</v>
      </c>
    </row>
    <row r="94" spans="1:12" s="402" customFormat="1" ht="12" customHeight="1" x14ac:dyDescent="0.2">
      <c r="B94" s="408" t="s">
        <v>108</v>
      </c>
      <c r="C94" s="406">
        <v>0</v>
      </c>
      <c r="D94" s="406">
        <v>0</v>
      </c>
      <c r="E94" s="406">
        <v>0</v>
      </c>
      <c r="F94" s="406">
        <v>0</v>
      </c>
      <c r="G94" s="406">
        <v>0</v>
      </c>
      <c r="H94" s="406">
        <v>0</v>
      </c>
      <c r="I94" s="406">
        <v>0</v>
      </c>
      <c r="J94" s="407">
        <v>0</v>
      </c>
    </row>
    <row r="95" spans="1:12" s="402" customFormat="1" ht="12" customHeight="1" x14ac:dyDescent="0.2">
      <c r="B95" s="408" t="s">
        <v>210</v>
      </c>
      <c r="C95" s="406">
        <v>1</v>
      </c>
      <c r="D95" s="406">
        <v>18054</v>
      </c>
      <c r="E95" s="406">
        <v>525</v>
      </c>
      <c r="F95" s="406">
        <v>5914</v>
      </c>
      <c r="G95" s="406">
        <v>3209</v>
      </c>
      <c r="H95" s="406">
        <v>1</v>
      </c>
      <c r="I95" s="406">
        <v>1</v>
      </c>
      <c r="J95" s="407">
        <v>1</v>
      </c>
    </row>
    <row r="96" spans="1:12" s="402" customFormat="1" ht="12" customHeight="1" x14ac:dyDescent="0.2">
      <c r="B96" s="409" t="s">
        <v>22</v>
      </c>
      <c r="C96" s="409">
        <f>SUM(C92:C95)</f>
        <v>3</v>
      </c>
      <c r="D96" s="409">
        <f t="shared" ref="D96:J96" si="7">SUM(D92:D95)</f>
        <v>39821</v>
      </c>
      <c r="E96" s="409">
        <f t="shared" si="7"/>
        <v>1359</v>
      </c>
      <c r="F96" s="409">
        <f t="shared" si="7"/>
        <v>9407</v>
      </c>
      <c r="G96" s="409">
        <f t="shared" si="7"/>
        <v>12792</v>
      </c>
      <c r="H96" s="409">
        <f t="shared" si="7"/>
        <v>4</v>
      </c>
      <c r="I96" s="409">
        <f t="shared" si="7"/>
        <v>3</v>
      </c>
      <c r="J96" s="409">
        <f t="shared" si="7"/>
        <v>3</v>
      </c>
    </row>
    <row r="97" spans="1:10" s="402" customFormat="1" ht="12" customHeight="1" x14ac:dyDescent="0.2">
      <c r="B97" s="405" t="s">
        <v>158</v>
      </c>
      <c r="C97" s="406"/>
      <c r="D97" s="406"/>
      <c r="E97" s="406"/>
      <c r="F97" s="406"/>
      <c r="G97" s="406"/>
      <c r="H97" s="406"/>
      <c r="I97" s="406"/>
      <c r="J97" s="407"/>
    </row>
    <row r="98" spans="1:10" s="402" customFormat="1" ht="12" customHeight="1" x14ac:dyDescent="0.2">
      <c r="B98" s="408" t="s">
        <v>211</v>
      </c>
      <c r="C98" s="406">
        <v>0</v>
      </c>
      <c r="D98" s="406">
        <v>0</v>
      </c>
      <c r="E98" s="406">
        <v>0</v>
      </c>
      <c r="F98" s="406">
        <v>0</v>
      </c>
      <c r="G98" s="406">
        <v>0</v>
      </c>
      <c r="H98" s="406">
        <v>0</v>
      </c>
      <c r="I98" s="406">
        <v>0</v>
      </c>
      <c r="J98" s="407">
        <v>0</v>
      </c>
    </row>
    <row r="99" spans="1:10" s="402" customFormat="1" ht="12" customHeight="1" x14ac:dyDescent="0.2">
      <c r="B99" s="408" t="s">
        <v>212</v>
      </c>
      <c r="C99" s="406">
        <v>0</v>
      </c>
      <c r="D99" s="406">
        <v>0</v>
      </c>
      <c r="E99" s="406">
        <v>0</v>
      </c>
      <c r="F99" s="406">
        <v>0</v>
      </c>
      <c r="G99" s="406">
        <v>0</v>
      </c>
      <c r="H99" s="406">
        <v>0</v>
      </c>
      <c r="I99" s="406">
        <v>0</v>
      </c>
      <c r="J99" s="407">
        <v>0</v>
      </c>
    </row>
    <row r="100" spans="1:10" s="402" customFormat="1" ht="12" customHeight="1" x14ac:dyDescent="0.2">
      <c r="B100" s="408" t="s">
        <v>213</v>
      </c>
      <c r="C100" s="406">
        <v>1</v>
      </c>
      <c r="D100" s="406">
        <v>14161</v>
      </c>
      <c r="E100" s="406">
        <v>253</v>
      </c>
      <c r="F100" s="406">
        <v>8313</v>
      </c>
      <c r="G100" s="406">
        <v>379</v>
      </c>
      <c r="H100" s="406">
        <v>1</v>
      </c>
      <c r="I100" s="406">
        <v>1</v>
      </c>
      <c r="J100" s="407">
        <v>1</v>
      </c>
    </row>
    <row r="101" spans="1:10" s="402" customFormat="1" ht="12" customHeight="1" x14ac:dyDescent="0.2">
      <c r="B101" s="408" t="s">
        <v>214</v>
      </c>
      <c r="C101" s="406">
        <v>1</v>
      </c>
      <c r="D101" s="406">
        <v>23289</v>
      </c>
      <c r="E101" s="406">
        <v>424</v>
      </c>
      <c r="F101" s="406">
        <v>9016</v>
      </c>
      <c r="G101" s="406">
        <v>8749</v>
      </c>
      <c r="H101" s="406">
        <v>1</v>
      </c>
      <c r="I101" s="406">
        <v>1</v>
      </c>
      <c r="J101" s="407">
        <v>1</v>
      </c>
    </row>
    <row r="102" spans="1:10" s="402" customFormat="1" ht="12" customHeight="1" x14ac:dyDescent="0.2">
      <c r="B102" s="408" t="s">
        <v>110</v>
      </c>
      <c r="C102" s="406">
        <v>1</v>
      </c>
      <c r="D102" s="406">
        <v>7849</v>
      </c>
      <c r="E102" s="406">
        <v>519</v>
      </c>
      <c r="F102" s="406">
        <v>7001</v>
      </c>
      <c r="G102" s="406">
        <v>6202</v>
      </c>
      <c r="H102" s="406">
        <v>1</v>
      </c>
      <c r="I102" s="406">
        <v>1</v>
      </c>
      <c r="J102" s="407">
        <v>1</v>
      </c>
    </row>
    <row r="103" spans="1:10" s="402" customFormat="1" ht="12" customHeight="1" x14ac:dyDescent="0.2">
      <c r="B103" s="408" t="s">
        <v>215</v>
      </c>
      <c r="C103" s="406">
        <v>1</v>
      </c>
      <c r="D103" s="406">
        <v>4055</v>
      </c>
      <c r="E103" s="406">
        <v>365</v>
      </c>
      <c r="F103" s="406">
        <v>4711</v>
      </c>
      <c r="G103" s="406">
        <v>4752</v>
      </c>
      <c r="H103" s="406">
        <v>1</v>
      </c>
      <c r="I103" s="406">
        <v>1</v>
      </c>
      <c r="J103" s="407">
        <v>1</v>
      </c>
    </row>
    <row r="104" spans="1:10" s="402" customFormat="1" ht="12" customHeight="1" x14ac:dyDescent="0.2">
      <c r="B104" s="409" t="s">
        <v>22</v>
      </c>
      <c r="C104" s="409">
        <f>SUM(C98:C103)</f>
        <v>4</v>
      </c>
      <c r="D104" s="409">
        <f t="shared" ref="D104:J104" si="8">SUM(D98:D103)</f>
        <v>49354</v>
      </c>
      <c r="E104" s="409">
        <f t="shared" si="8"/>
        <v>1561</v>
      </c>
      <c r="F104" s="409">
        <f t="shared" si="8"/>
        <v>29041</v>
      </c>
      <c r="G104" s="409">
        <f t="shared" si="8"/>
        <v>20082</v>
      </c>
      <c r="H104" s="409">
        <f t="shared" si="8"/>
        <v>4</v>
      </c>
      <c r="I104" s="409">
        <f t="shared" si="8"/>
        <v>4</v>
      </c>
      <c r="J104" s="409">
        <f t="shared" si="8"/>
        <v>4</v>
      </c>
    </row>
    <row r="105" spans="1:10" s="402" customFormat="1" ht="12" customHeight="1" x14ac:dyDescent="0.2">
      <c r="A105" s="420"/>
      <c r="B105" s="405" t="s">
        <v>159</v>
      </c>
      <c r="C105" s="406"/>
      <c r="D105" s="406"/>
      <c r="E105" s="406"/>
      <c r="F105" s="406"/>
      <c r="G105" s="406"/>
      <c r="H105" s="406"/>
      <c r="I105" s="406"/>
      <c r="J105" s="407"/>
    </row>
    <row r="106" spans="1:10" s="402" customFormat="1" ht="12" customHeight="1" x14ac:dyDescent="0.2">
      <c r="B106" s="408" t="s">
        <v>112</v>
      </c>
      <c r="C106" s="406">
        <v>1</v>
      </c>
      <c r="D106" s="406">
        <v>9552</v>
      </c>
      <c r="E106" s="406">
        <v>164</v>
      </c>
      <c r="F106" s="406">
        <v>440</v>
      </c>
      <c r="G106" s="406">
        <v>380</v>
      </c>
      <c r="H106" s="406">
        <v>0</v>
      </c>
      <c r="I106" s="406">
        <v>1</v>
      </c>
      <c r="J106" s="407">
        <v>1</v>
      </c>
    </row>
    <row r="107" spans="1:10" s="402" customFormat="1" ht="12" customHeight="1" x14ac:dyDescent="0.2">
      <c r="B107" s="408" t="s">
        <v>216</v>
      </c>
      <c r="C107" s="406">
        <v>0</v>
      </c>
      <c r="D107" s="406">
        <v>0</v>
      </c>
      <c r="E107" s="406">
        <v>0</v>
      </c>
      <c r="F107" s="406">
        <v>0</v>
      </c>
      <c r="G107" s="406">
        <v>0</v>
      </c>
      <c r="H107" s="406">
        <v>0</v>
      </c>
      <c r="I107" s="406">
        <v>0</v>
      </c>
      <c r="J107" s="407">
        <v>0</v>
      </c>
    </row>
    <row r="108" spans="1:10" s="402" customFormat="1" ht="12" customHeight="1" x14ac:dyDescent="0.2">
      <c r="B108" s="408" t="s">
        <v>217</v>
      </c>
      <c r="C108" s="406">
        <v>0</v>
      </c>
      <c r="D108" s="406">
        <v>0</v>
      </c>
      <c r="E108" s="406">
        <v>0</v>
      </c>
      <c r="F108" s="406">
        <v>0</v>
      </c>
      <c r="G108" s="406">
        <v>0</v>
      </c>
      <c r="H108" s="406">
        <v>0</v>
      </c>
      <c r="I108" s="406">
        <v>0</v>
      </c>
      <c r="J108" s="407">
        <v>0</v>
      </c>
    </row>
    <row r="109" spans="1:10" s="402" customFormat="1" ht="12" customHeight="1" x14ac:dyDescent="0.2">
      <c r="B109" s="416" t="s">
        <v>218</v>
      </c>
      <c r="C109" s="417">
        <v>1</v>
      </c>
      <c r="D109" s="417">
        <v>15726</v>
      </c>
      <c r="E109" s="417">
        <v>326</v>
      </c>
      <c r="F109" s="417">
        <v>1980</v>
      </c>
      <c r="G109" s="417">
        <v>2851</v>
      </c>
      <c r="H109" s="417">
        <v>2</v>
      </c>
      <c r="I109" s="417">
        <v>1</v>
      </c>
      <c r="J109" s="418">
        <v>1</v>
      </c>
    </row>
    <row r="110" spans="1:10" s="402" customFormat="1" ht="12" customHeight="1" x14ac:dyDescent="0.2">
      <c r="B110" s="416" t="s">
        <v>219</v>
      </c>
      <c r="C110" s="417">
        <v>1</v>
      </c>
      <c r="D110" s="417">
        <v>2218</v>
      </c>
      <c r="E110" s="417">
        <v>245</v>
      </c>
      <c r="F110" s="417">
        <v>0</v>
      </c>
      <c r="G110" s="417">
        <v>0</v>
      </c>
      <c r="H110" s="417">
        <v>0</v>
      </c>
      <c r="I110" s="417">
        <v>0</v>
      </c>
      <c r="J110" s="418">
        <v>0</v>
      </c>
    </row>
    <row r="111" spans="1:10" s="402" customFormat="1" ht="12" customHeight="1" x14ac:dyDescent="0.2">
      <c r="B111" s="416" t="s">
        <v>220</v>
      </c>
      <c r="C111" s="417">
        <v>1</v>
      </c>
      <c r="D111" s="417">
        <v>48272</v>
      </c>
      <c r="E111" s="417">
        <v>250</v>
      </c>
      <c r="F111" s="417">
        <v>400</v>
      </c>
      <c r="G111" s="417">
        <v>1000</v>
      </c>
      <c r="H111" s="417">
        <v>2</v>
      </c>
      <c r="I111" s="417">
        <v>1</v>
      </c>
      <c r="J111" s="418">
        <v>1</v>
      </c>
    </row>
    <row r="112" spans="1:10" s="402" customFormat="1" ht="12" customHeight="1" x14ac:dyDescent="0.2">
      <c r="B112" s="416" t="s">
        <v>113</v>
      </c>
      <c r="C112" s="417">
        <v>7</v>
      </c>
      <c r="D112" s="417">
        <v>109532</v>
      </c>
      <c r="E112" s="417">
        <v>5393</v>
      </c>
      <c r="F112" s="417">
        <v>11207</v>
      </c>
      <c r="G112" s="417">
        <v>15071</v>
      </c>
      <c r="H112" s="417">
        <v>8</v>
      </c>
      <c r="I112" s="417">
        <v>6</v>
      </c>
      <c r="J112" s="418">
        <v>6</v>
      </c>
    </row>
    <row r="113" spans="2:10" s="402" customFormat="1" ht="12" customHeight="1" x14ac:dyDescent="0.2">
      <c r="B113" s="416" t="s">
        <v>221</v>
      </c>
      <c r="C113" s="417">
        <v>1</v>
      </c>
      <c r="D113" s="417">
        <v>14384</v>
      </c>
      <c r="E113" s="417">
        <v>238</v>
      </c>
      <c r="F113" s="417">
        <v>210</v>
      </c>
      <c r="G113" s="417">
        <v>210</v>
      </c>
      <c r="H113" s="417">
        <v>1</v>
      </c>
      <c r="I113" s="417">
        <v>1</v>
      </c>
      <c r="J113" s="418">
        <v>1</v>
      </c>
    </row>
    <row r="114" spans="2:10" s="402" customFormat="1" ht="12" customHeight="1" x14ac:dyDescent="0.2">
      <c r="B114" s="419" t="s">
        <v>22</v>
      </c>
      <c r="C114" s="419">
        <f>SUM(C106:C113)</f>
        <v>12</v>
      </c>
      <c r="D114" s="419">
        <f t="shared" ref="D114:J114" si="9">SUM(D106:D113)</f>
        <v>199684</v>
      </c>
      <c r="E114" s="419">
        <f t="shared" si="9"/>
        <v>6616</v>
      </c>
      <c r="F114" s="419">
        <f t="shared" si="9"/>
        <v>14237</v>
      </c>
      <c r="G114" s="419">
        <f t="shared" si="9"/>
        <v>19512</v>
      </c>
      <c r="H114" s="419">
        <f t="shared" si="9"/>
        <v>13</v>
      </c>
      <c r="I114" s="419">
        <f t="shared" si="9"/>
        <v>10</v>
      </c>
      <c r="J114" s="419">
        <f t="shared" si="9"/>
        <v>10</v>
      </c>
    </row>
    <row r="115" spans="2:10" s="402" customFormat="1" ht="12" customHeight="1" x14ac:dyDescent="0.2">
      <c r="B115" s="110" t="s">
        <v>115</v>
      </c>
      <c r="C115" s="110">
        <f>C17+C27+C36+C43+C51+C84+C90+C96+C104+C114</f>
        <v>53</v>
      </c>
      <c r="D115" s="110">
        <f t="shared" ref="D115:J115" si="10">D17+D27+D36+D43+D51+D84+D90+D96+D104+D114</f>
        <v>1026221</v>
      </c>
      <c r="E115" s="110">
        <f t="shared" si="10"/>
        <v>29554</v>
      </c>
      <c r="F115" s="110">
        <f t="shared" si="10"/>
        <v>201367</v>
      </c>
      <c r="G115" s="110">
        <f t="shared" si="10"/>
        <v>186859</v>
      </c>
      <c r="H115" s="110">
        <f t="shared" si="10"/>
        <v>74</v>
      </c>
      <c r="I115" s="110">
        <f t="shared" si="10"/>
        <v>50</v>
      </c>
      <c r="J115" s="110">
        <f t="shared" si="10"/>
        <v>50</v>
      </c>
    </row>
    <row r="116" spans="2:10" s="402" customFormat="1" ht="12" customHeight="1" x14ac:dyDescent="0.2">
      <c r="B116" s="420"/>
    </row>
    <row r="117" spans="2:10" s="402" customFormat="1" ht="12" customHeight="1" x14ac:dyDescent="0.2">
      <c r="B117" s="420"/>
    </row>
    <row r="118" spans="2:10" s="402" customFormat="1" ht="12" customHeight="1" x14ac:dyDescent="0.2">
      <c r="B118" s="420"/>
    </row>
    <row r="119" spans="2:10" s="402" customFormat="1" ht="12" customHeight="1" x14ac:dyDescent="0.2">
      <c r="B119" s="420"/>
    </row>
    <row r="120" spans="2:10" s="402" customFormat="1" ht="12" customHeight="1" x14ac:dyDescent="0.2">
      <c r="B120" s="420"/>
    </row>
    <row r="121" spans="2:10" s="402" customFormat="1" ht="12" customHeight="1" x14ac:dyDescent="0.2">
      <c r="B121" s="420"/>
    </row>
    <row r="122" spans="2:10" s="402" customFormat="1" ht="12" customHeight="1" x14ac:dyDescent="0.2">
      <c r="B122" s="420"/>
    </row>
    <row r="123" spans="2:10" s="402" customFormat="1" ht="12" customHeight="1" x14ac:dyDescent="0.2">
      <c r="B123" s="420"/>
    </row>
    <row r="124" spans="2:10" s="402" customFormat="1" ht="12" customHeight="1" x14ac:dyDescent="0.2">
      <c r="B124" s="420"/>
    </row>
    <row r="125" spans="2:10" s="402" customFormat="1" ht="12" customHeight="1" x14ac:dyDescent="0.2">
      <c r="B125" s="420"/>
      <c r="D125" s="665"/>
      <c r="E125" s="665"/>
      <c r="F125" s="665"/>
    </row>
    <row r="126" spans="2:10" s="402" customFormat="1" ht="12" customHeight="1" x14ac:dyDescent="0.2">
      <c r="B126" s="420"/>
      <c r="D126" s="665"/>
      <c r="E126" s="665"/>
      <c r="F126" s="665"/>
    </row>
    <row r="127" spans="2:10" s="402" customFormat="1" ht="12" customHeight="1" x14ac:dyDescent="0.2">
      <c r="B127" s="420"/>
      <c r="D127" s="665"/>
      <c r="E127" s="665"/>
      <c r="F127" s="665"/>
    </row>
    <row r="128" spans="2:10" s="402" customFormat="1" ht="12" customHeight="1" x14ac:dyDescent="0.2">
      <c r="B128" s="420"/>
      <c r="D128" s="665"/>
      <c r="E128" s="665"/>
      <c r="F128" s="665"/>
    </row>
    <row r="129" spans="2:6" s="402" customFormat="1" ht="12" customHeight="1" x14ac:dyDescent="0.2">
      <c r="B129" s="420"/>
      <c r="D129" s="665"/>
      <c r="E129" s="665"/>
      <c r="F129" s="665"/>
    </row>
    <row r="130" spans="2:6" s="402" customFormat="1" ht="12" customHeight="1" x14ac:dyDescent="0.2">
      <c r="B130" s="420"/>
      <c r="D130" s="665"/>
      <c r="E130" s="665"/>
      <c r="F130" s="665"/>
    </row>
    <row r="131" spans="2:6" ht="12" customHeight="1" x14ac:dyDescent="0.2">
      <c r="B131" s="421"/>
    </row>
    <row r="132" spans="2:6" ht="12" customHeight="1" x14ac:dyDescent="0.2">
      <c r="B132" s="421"/>
    </row>
    <row r="133" spans="2:6" ht="12" customHeight="1" x14ac:dyDescent="0.2">
      <c r="B133" s="421"/>
    </row>
    <row r="134" spans="2:6" ht="12" customHeight="1" x14ac:dyDescent="0.2">
      <c r="B134" s="421"/>
    </row>
    <row r="135" spans="2:6" ht="12" customHeight="1" x14ac:dyDescent="0.2">
      <c r="B135" s="421"/>
    </row>
    <row r="136" spans="2:6" ht="12" customHeight="1" x14ac:dyDescent="0.2">
      <c r="B136" s="421"/>
    </row>
    <row r="137" spans="2:6" ht="12" customHeight="1" x14ac:dyDescent="0.2">
      <c r="B137" s="421"/>
    </row>
    <row r="138" spans="2:6" ht="12" customHeight="1" x14ac:dyDescent="0.2">
      <c r="B138" s="421"/>
    </row>
    <row r="139" spans="2:6" ht="12" customHeight="1" x14ac:dyDescent="0.2">
      <c r="B139" s="421"/>
    </row>
    <row r="140" spans="2:6" ht="12" customHeight="1" x14ac:dyDescent="0.2">
      <c r="B140" s="421"/>
    </row>
    <row r="141" spans="2:6" ht="12" customHeight="1" x14ac:dyDescent="0.2">
      <c r="B141" s="421"/>
    </row>
    <row r="142" spans="2:6" ht="12" customHeight="1" x14ac:dyDescent="0.2">
      <c r="B142" s="421"/>
    </row>
    <row r="143" spans="2:6" ht="12" customHeight="1" x14ac:dyDescent="0.2">
      <c r="B143" s="421"/>
    </row>
    <row r="144" spans="2:6" ht="12" customHeight="1" x14ac:dyDescent="0.2">
      <c r="B144" s="421"/>
    </row>
    <row r="145" spans="2:2" ht="12" customHeight="1" x14ac:dyDescent="0.2">
      <c r="B145" s="421"/>
    </row>
    <row r="146" spans="2:2" ht="12" customHeight="1" x14ac:dyDescent="0.2">
      <c r="B146" s="421"/>
    </row>
    <row r="147" spans="2:2" ht="12" customHeight="1" x14ac:dyDescent="0.2">
      <c r="B147" s="421"/>
    </row>
    <row r="148" spans="2:2" ht="12" customHeight="1" x14ac:dyDescent="0.2">
      <c r="B148" s="421"/>
    </row>
    <row r="149" spans="2:2" ht="12" customHeight="1" x14ac:dyDescent="0.2">
      <c r="B149" s="421"/>
    </row>
    <row r="150" spans="2:2" ht="12" customHeight="1" x14ac:dyDescent="0.2">
      <c r="B150" s="421"/>
    </row>
    <row r="151" spans="2:2" ht="12" customHeight="1" x14ac:dyDescent="0.2">
      <c r="B151" s="421"/>
    </row>
    <row r="152" spans="2:2" ht="12" customHeight="1" x14ac:dyDescent="0.2">
      <c r="B152" s="421"/>
    </row>
    <row r="153" spans="2:2" ht="12" customHeight="1" x14ac:dyDescent="0.2">
      <c r="B153" s="421"/>
    </row>
    <row r="154" spans="2:2" ht="12" customHeight="1" x14ac:dyDescent="0.2">
      <c r="B154" s="421"/>
    </row>
    <row r="155" spans="2:2" ht="12" customHeight="1" x14ac:dyDescent="0.2">
      <c r="B155" s="421"/>
    </row>
    <row r="156" spans="2:2" ht="12" customHeight="1" x14ac:dyDescent="0.2">
      <c r="B156" s="421"/>
    </row>
    <row r="157" spans="2:2" ht="12" customHeight="1" x14ac:dyDescent="0.2">
      <c r="B157" s="421"/>
    </row>
    <row r="158" spans="2:2" ht="12" customHeight="1" x14ac:dyDescent="0.2">
      <c r="B158" s="421"/>
    </row>
    <row r="159" spans="2:2" ht="12" customHeight="1" x14ac:dyDescent="0.2">
      <c r="B159" s="421"/>
    </row>
    <row r="160" spans="2:2" ht="12" customHeight="1" x14ac:dyDescent="0.2">
      <c r="B160" s="421"/>
    </row>
    <row r="161" spans="2:2" ht="12" customHeight="1" x14ac:dyDescent="0.2">
      <c r="B161" s="421"/>
    </row>
    <row r="162" spans="2:2" ht="12" customHeight="1" x14ac:dyDescent="0.2">
      <c r="B162" s="421"/>
    </row>
    <row r="163" spans="2:2" ht="12" customHeight="1" x14ac:dyDescent="0.2">
      <c r="B163" s="421"/>
    </row>
    <row r="164" spans="2:2" ht="12" customHeight="1" x14ac:dyDescent="0.2">
      <c r="B164" s="421"/>
    </row>
    <row r="165" spans="2:2" ht="12" customHeight="1" x14ac:dyDescent="0.2">
      <c r="B165" s="421"/>
    </row>
    <row r="166" spans="2:2" ht="12" customHeight="1" x14ac:dyDescent="0.2">
      <c r="B166" s="421"/>
    </row>
    <row r="167" spans="2:2" ht="12" customHeight="1" x14ac:dyDescent="0.2">
      <c r="B167" s="421"/>
    </row>
    <row r="168" spans="2:2" ht="12" customHeight="1" x14ac:dyDescent="0.2">
      <c r="B168" s="421"/>
    </row>
    <row r="169" spans="2:2" ht="12" customHeight="1" x14ac:dyDescent="0.2">
      <c r="B169" s="421"/>
    </row>
    <row r="170" spans="2:2" ht="12" customHeight="1" x14ac:dyDescent="0.2">
      <c r="B170" s="421"/>
    </row>
    <row r="171" spans="2:2" ht="12" customHeight="1" x14ac:dyDescent="0.2">
      <c r="B171" s="421"/>
    </row>
    <row r="172" spans="2:2" ht="12" customHeight="1" x14ac:dyDescent="0.2">
      <c r="B172" s="421"/>
    </row>
    <row r="173" spans="2:2" ht="12" customHeight="1" x14ac:dyDescent="0.2">
      <c r="B173" s="421"/>
    </row>
    <row r="174" spans="2:2" ht="12" customHeight="1" x14ac:dyDescent="0.2">
      <c r="B174" s="421"/>
    </row>
    <row r="175" spans="2:2" ht="12" customHeight="1" x14ac:dyDescent="0.2">
      <c r="B175" s="421"/>
    </row>
    <row r="176" spans="2:2" ht="12" customHeight="1" x14ac:dyDescent="0.2">
      <c r="B176" s="421"/>
    </row>
    <row r="177" spans="2:2" ht="12" customHeight="1" x14ac:dyDescent="0.2">
      <c r="B177" s="421"/>
    </row>
  </sheetData>
  <mergeCells count="21"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  <mergeCell ref="H72:H74"/>
    <mergeCell ref="I72:J73"/>
    <mergeCell ref="I7:J8"/>
    <mergeCell ref="B64:J64"/>
    <mergeCell ref="I71:J71"/>
    <mergeCell ref="B72:B74"/>
    <mergeCell ref="C72:C74"/>
    <mergeCell ref="D72:D74"/>
    <mergeCell ref="E72:E74"/>
    <mergeCell ref="F72:F74"/>
    <mergeCell ref="G72:G74"/>
  </mergeCells>
  <pageMargins left="0.89" right="0.75" top="1" bottom="1" header="0.5" footer="0.5"/>
  <pageSetup paperSize="9" scale="85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6"/>
  <sheetViews>
    <sheetView zoomScaleNormal="100" workbookViewId="0">
      <selection activeCell="F9" sqref="F9:F11"/>
    </sheetView>
  </sheetViews>
  <sheetFormatPr defaultColWidth="9.140625" defaultRowHeight="12" x14ac:dyDescent="0.2"/>
  <cols>
    <col min="1" max="1" width="7.140625" style="161" customWidth="1"/>
    <col min="2" max="2" width="13.570312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7109375" style="161" customWidth="1"/>
    <col min="8" max="8" width="11.140625" style="161" customWidth="1"/>
    <col min="9" max="9" width="7.28515625" style="161" customWidth="1"/>
    <col min="10" max="10" width="7.7109375" style="161" customWidth="1"/>
    <col min="11" max="16384" width="9.140625" style="161"/>
  </cols>
  <sheetData>
    <row r="2" spans="2:11" s="175" customFormat="1" ht="15.75" x14ac:dyDescent="0.25">
      <c r="B2" s="961" t="s">
        <v>160</v>
      </c>
      <c r="C2" s="961"/>
      <c r="D2" s="961"/>
      <c r="E2" s="961"/>
      <c r="F2" s="961"/>
      <c r="G2" s="961"/>
      <c r="H2" s="961"/>
      <c r="I2" s="961"/>
      <c r="J2" s="961"/>
    </row>
    <row r="3" spans="2:11" s="175" customFormat="1" ht="15.75" x14ac:dyDescent="0.25">
      <c r="B3" s="1000" t="s">
        <v>161</v>
      </c>
      <c r="C3" s="1000"/>
      <c r="D3" s="1000"/>
      <c r="E3" s="1000"/>
      <c r="F3" s="1000"/>
      <c r="G3" s="1000"/>
      <c r="H3" s="1000"/>
      <c r="I3" s="1000"/>
      <c r="J3" s="1000"/>
    </row>
    <row r="4" spans="2:11" s="175" customFormat="1" ht="15.75" x14ac:dyDescent="0.25">
      <c r="B4" s="1000" t="s">
        <v>162</v>
      </c>
      <c r="C4" s="1000"/>
      <c r="D4" s="1000"/>
      <c r="E4" s="1000"/>
      <c r="F4" s="1000"/>
      <c r="G4" s="1000"/>
      <c r="H4" s="1000"/>
      <c r="I4" s="1000"/>
      <c r="J4" s="1000"/>
    </row>
    <row r="5" spans="2:11" s="175" customFormat="1" ht="15.75" x14ac:dyDescent="0.25">
      <c r="B5" s="173"/>
      <c r="C5" s="173"/>
      <c r="D5" s="173"/>
      <c r="E5" s="173"/>
      <c r="F5" s="173"/>
      <c r="G5" s="173"/>
      <c r="H5" s="173"/>
      <c r="I5" s="173"/>
      <c r="J5" s="173"/>
    </row>
    <row r="6" spans="2:11" s="175" customFormat="1" ht="15.75" x14ac:dyDescent="0.25">
      <c r="B6" s="174"/>
      <c r="I6" s="982" t="s">
        <v>283</v>
      </c>
      <c r="J6" s="982"/>
    </row>
    <row r="7" spans="2:11" s="175" customFormat="1" ht="15.75" x14ac:dyDescent="0.25">
      <c r="B7" s="963" t="s">
        <v>65</v>
      </c>
      <c r="C7" s="963"/>
      <c r="D7" s="963"/>
      <c r="E7" s="963"/>
      <c r="F7" s="963"/>
      <c r="G7" s="963"/>
      <c r="H7" s="963"/>
      <c r="I7" s="963"/>
      <c r="J7" s="963"/>
    </row>
    <row r="8" spans="2:11" x14ac:dyDescent="0.2">
      <c r="B8" s="423"/>
    </row>
    <row r="9" spans="2:11" s="425" customFormat="1" ht="11.25" x14ac:dyDescent="0.2">
      <c r="B9" s="968" t="s">
        <v>84</v>
      </c>
      <c r="C9" s="968" t="s">
        <v>85</v>
      </c>
      <c r="D9" s="968" t="s">
        <v>67</v>
      </c>
      <c r="E9" s="968" t="s">
        <v>68</v>
      </c>
      <c r="F9" s="968" t="s">
        <v>69</v>
      </c>
      <c r="G9" s="968" t="s">
        <v>70</v>
      </c>
      <c r="H9" s="968" t="s">
        <v>222</v>
      </c>
      <c r="I9" s="1001" t="s">
        <v>223</v>
      </c>
      <c r="J9" s="1002"/>
      <c r="K9" s="424"/>
    </row>
    <row r="10" spans="2:11" s="425" customFormat="1" ht="11.25" x14ac:dyDescent="0.2">
      <c r="B10" s="969"/>
      <c r="C10" s="969"/>
      <c r="D10" s="969"/>
      <c r="E10" s="969"/>
      <c r="F10" s="969"/>
      <c r="G10" s="969"/>
      <c r="H10" s="969"/>
      <c r="I10" s="1003"/>
      <c r="J10" s="1004"/>
      <c r="K10" s="424"/>
    </row>
    <row r="11" spans="2:11" s="425" customFormat="1" ht="11.25" x14ac:dyDescent="0.2">
      <c r="B11" s="970"/>
      <c r="C11" s="970"/>
      <c r="D11" s="970"/>
      <c r="E11" s="970"/>
      <c r="F11" s="970"/>
      <c r="G11" s="970"/>
      <c r="H11" s="970"/>
      <c r="I11" s="426" t="s">
        <v>73</v>
      </c>
      <c r="J11" s="427" t="s">
        <v>86</v>
      </c>
      <c r="K11" s="424"/>
    </row>
    <row r="12" spans="2:11" s="425" customFormat="1" ht="11.25" x14ac:dyDescent="0.2">
      <c r="B12" s="190">
        <v>1</v>
      </c>
      <c r="C12" s="164">
        <v>2</v>
      </c>
      <c r="D12" s="164">
        <v>3</v>
      </c>
      <c r="E12" s="164">
        <v>4</v>
      </c>
      <c r="F12" s="164">
        <v>5</v>
      </c>
      <c r="G12" s="164">
        <v>6</v>
      </c>
      <c r="H12" s="164">
        <v>7</v>
      </c>
      <c r="I12" s="164">
        <v>8</v>
      </c>
      <c r="J12" s="164">
        <v>9</v>
      </c>
      <c r="K12" s="424"/>
    </row>
    <row r="13" spans="2:11" x14ac:dyDescent="0.2">
      <c r="B13" s="428" t="s">
        <v>151</v>
      </c>
      <c r="C13" s="423"/>
      <c r="D13" s="423"/>
      <c r="E13" s="423"/>
      <c r="F13" s="423"/>
      <c r="G13" s="423"/>
      <c r="H13" s="423"/>
      <c r="I13" s="423"/>
      <c r="J13" s="429"/>
    </row>
    <row r="14" spans="2:11" x14ac:dyDescent="0.2">
      <c r="B14" s="430" t="s">
        <v>88</v>
      </c>
      <c r="C14" s="423">
        <f>SUM('SAV+VALST+NEVALST'!C12, NVŠĮB!C12)</f>
        <v>15</v>
      </c>
      <c r="D14" s="423">
        <f>SUM('SAV+VALST+NEVALST'!D12, NVŠĮB!D12)</f>
        <v>189933</v>
      </c>
      <c r="E14" s="423">
        <f>SUM('SAV+VALST+NEVALST'!E12, NVŠĮB!E12)</f>
        <v>6657</v>
      </c>
      <c r="F14" s="423">
        <f>SUM('SAV+VALST+NEVALST'!F12, NVŠĮB!F12)</f>
        <v>64663</v>
      </c>
      <c r="G14" s="423">
        <f>SUM('SAV+VALST+NEVALST'!G12, NVŠĮB!G12)</f>
        <v>84472</v>
      </c>
      <c r="H14" s="423">
        <f>SUM('SAV+VALST+NEVALST'!H12, NVŠĮB!H12)</f>
        <v>19</v>
      </c>
      <c r="I14" s="423">
        <f>SUM('SAV+VALST+NEVALST'!I12, NVŠĮB!I12)</f>
        <v>15</v>
      </c>
      <c r="J14" s="431">
        <f>SUM('SAV+VALST+NEVALST'!J12, NVŠĮB!J12)</f>
        <v>15</v>
      </c>
    </row>
    <row r="15" spans="2:11" x14ac:dyDescent="0.2">
      <c r="B15" s="430" t="s">
        <v>179</v>
      </c>
      <c r="C15" s="423">
        <f>SUM('SAV+VALST+NEVALST'!C13, NVŠĮB!C13)</f>
        <v>1</v>
      </c>
      <c r="D15" s="423">
        <f>SUM('SAV+VALST+NEVALST'!D13, NVŠĮB!D13)</f>
        <v>5435</v>
      </c>
      <c r="E15" s="423">
        <f>SUM('SAV+VALST+NEVALST'!E13, NVŠĮB!E13)</f>
        <v>37</v>
      </c>
      <c r="F15" s="423">
        <f>SUM('SAV+VALST+NEVALST'!F13, NVŠĮB!F13)</f>
        <v>654</v>
      </c>
      <c r="G15" s="423">
        <f>SUM('SAV+VALST+NEVALST'!G13, NVŠĮB!G13)</f>
        <v>531</v>
      </c>
      <c r="H15" s="423">
        <f>SUM('SAV+VALST+NEVALST'!H13, NVŠĮB!H13)</f>
        <v>1</v>
      </c>
      <c r="I15" s="423">
        <f>SUM('SAV+VALST+NEVALST'!I13, NVŠĮB!I13)</f>
        <v>1</v>
      </c>
      <c r="J15" s="431">
        <f>SUM('SAV+VALST+NEVALST'!J13, NVŠĮB!J13)</f>
        <v>1</v>
      </c>
    </row>
    <row r="16" spans="2:11" x14ac:dyDescent="0.2">
      <c r="B16" s="430" t="s">
        <v>89</v>
      </c>
      <c r="C16" s="423">
        <f>SUM('SAV+VALST+NEVALST'!C14, NVŠĮB!C14)</f>
        <v>6</v>
      </c>
      <c r="D16" s="423">
        <f>SUM('SAV+VALST+NEVALST'!D14, NVŠĮB!D14)</f>
        <v>64641</v>
      </c>
      <c r="E16" s="423">
        <f>SUM('SAV+VALST+NEVALST'!E14, NVŠĮB!E14)</f>
        <v>3183</v>
      </c>
      <c r="F16" s="423">
        <f>SUM('SAV+VALST+NEVALST'!F14, NVŠĮB!F14)</f>
        <v>60216</v>
      </c>
      <c r="G16" s="423">
        <f>SUM('SAV+VALST+NEVALST'!G14, NVŠĮB!G14)</f>
        <v>39737</v>
      </c>
      <c r="H16" s="423">
        <f>SUM('SAV+VALST+NEVALST'!H14, NVŠĮB!H14)</f>
        <v>8</v>
      </c>
      <c r="I16" s="423">
        <f>SUM('SAV+VALST+NEVALST'!I14, NVŠĮB!I14)</f>
        <v>5</v>
      </c>
      <c r="J16" s="431">
        <f>SUM('SAV+VALST+NEVALST'!J14, NVŠĮB!J14)</f>
        <v>5</v>
      </c>
    </row>
    <row r="17" spans="1:10" x14ac:dyDescent="0.2">
      <c r="B17" s="430" t="s">
        <v>180</v>
      </c>
      <c r="C17" s="423">
        <f>SUM('SAV+VALST+NEVALST'!C15, NVŠĮB!C15)</f>
        <v>7</v>
      </c>
      <c r="D17" s="423">
        <f>SUM('SAV+VALST+NEVALST'!D15, NVŠĮB!D15)</f>
        <v>52075</v>
      </c>
      <c r="E17" s="423">
        <f>SUM('SAV+VALST+NEVALST'!E15, NVŠĮB!E15)</f>
        <v>1528</v>
      </c>
      <c r="F17" s="423">
        <f>SUM('SAV+VALST+NEVALST'!F15, NVŠĮB!F15)</f>
        <v>22132</v>
      </c>
      <c r="G17" s="423">
        <f>SUM('SAV+VALST+NEVALST'!G15, NVŠĮB!G15)</f>
        <v>21631</v>
      </c>
      <c r="H17" s="423">
        <f>SUM('SAV+VALST+NEVALST'!H15, NVŠĮB!H15)</f>
        <v>9</v>
      </c>
      <c r="I17" s="423">
        <f>SUM('SAV+VALST+NEVALST'!I15, NVŠĮB!I15)</f>
        <v>6</v>
      </c>
      <c r="J17" s="431">
        <f>SUM('SAV+VALST+NEVALST'!J15, NVŠĮB!J15)</f>
        <v>6</v>
      </c>
    </row>
    <row r="18" spans="1:10" x14ac:dyDescent="0.2">
      <c r="B18" s="432" t="s">
        <v>181</v>
      </c>
      <c r="C18" s="423">
        <f>SUM('SAV+VALST+NEVALST'!C16, NVŠĮB!C16)</f>
        <v>8</v>
      </c>
      <c r="D18" s="423">
        <f>SUM('SAV+VALST+NEVALST'!D16, NVŠĮB!D16)</f>
        <v>103799</v>
      </c>
      <c r="E18" s="423">
        <f>SUM('SAV+VALST+NEVALST'!E16, NVŠĮB!E16)</f>
        <v>1654</v>
      </c>
      <c r="F18" s="423">
        <f>SUM('SAV+VALST+NEVALST'!F16, NVŠĮB!F16)</f>
        <v>13848</v>
      </c>
      <c r="G18" s="423">
        <f>SUM('SAV+VALST+NEVALST'!G16, NVŠĮB!G16)</f>
        <v>15965</v>
      </c>
      <c r="H18" s="423">
        <f>SUM('SAV+VALST+NEVALST'!H16, NVŠĮB!H16)</f>
        <v>7</v>
      </c>
      <c r="I18" s="423">
        <f>SUM('SAV+VALST+NEVALST'!I16, NVŠĮB!I16)</f>
        <v>7</v>
      </c>
      <c r="J18" s="433">
        <f>SUM('SAV+VALST+NEVALST'!J16, NVŠĮB!J16)</f>
        <v>7</v>
      </c>
    </row>
    <row r="19" spans="1:10" ht="14.25" customHeight="1" x14ac:dyDescent="0.2">
      <c r="B19" s="434" t="s">
        <v>22</v>
      </c>
      <c r="C19" s="434">
        <f>SUM(C14:C18)</f>
        <v>37</v>
      </c>
      <c r="D19" s="434">
        <f t="shared" ref="D19:J19" si="0">SUM(D14:D18)</f>
        <v>415883</v>
      </c>
      <c r="E19" s="434">
        <f t="shared" si="0"/>
        <v>13059</v>
      </c>
      <c r="F19" s="434">
        <f t="shared" si="0"/>
        <v>161513</v>
      </c>
      <c r="G19" s="434">
        <f t="shared" si="0"/>
        <v>162336</v>
      </c>
      <c r="H19" s="434">
        <f t="shared" si="0"/>
        <v>44</v>
      </c>
      <c r="I19" s="434">
        <f>SUM(I14:I18)</f>
        <v>34</v>
      </c>
      <c r="J19" s="434">
        <f t="shared" si="0"/>
        <v>34</v>
      </c>
    </row>
    <row r="20" spans="1:10" x14ac:dyDescent="0.2">
      <c r="B20" s="428" t="s">
        <v>152</v>
      </c>
      <c r="C20" s="423"/>
      <c r="D20" s="423"/>
      <c r="E20" s="423"/>
      <c r="F20" s="423"/>
      <c r="G20" s="423"/>
      <c r="H20" s="423"/>
      <c r="I20" s="423"/>
      <c r="J20" s="429"/>
    </row>
    <row r="21" spans="1:10" x14ac:dyDescent="0.2">
      <c r="B21" s="430" t="s">
        <v>91</v>
      </c>
      <c r="C21" s="423">
        <f>SUM('SAV+VALST+NEVALST'!C19, NVŠĮB!C19)</f>
        <v>1</v>
      </c>
      <c r="D21" s="423">
        <f>SUM('SAV+VALST+NEVALST'!D19, NVŠĮB!D19)</f>
        <v>8903</v>
      </c>
      <c r="E21" s="423">
        <f>SUM('SAV+VALST+NEVALST'!E19, NVŠĮB!E19)</f>
        <v>419</v>
      </c>
      <c r="F21" s="423">
        <f>SUM('SAV+VALST+NEVALST'!F19, NVŠĮB!F19)</f>
        <v>1058</v>
      </c>
      <c r="G21" s="423">
        <f>SUM('SAV+VALST+NEVALST'!G19, NVŠĮB!G19)</f>
        <v>8263</v>
      </c>
      <c r="H21" s="423">
        <f>SUM('SAV+VALST+NEVALST'!H19, NVŠĮB!H19)</f>
        <v>1</v>
      </c>
      <c r="I21" s="423">
        <f>SUM('SAV+VALST+NEVALST'!I19, NVŠĮB!I19)</f>
        <v>1</v>
      </c>
      <c r="J21" s="431">
        <f>SUM('SAV+VALST+NEVALST'!J19, NVŠĮB!J19)</f>
        <v>1</v>
      </c>
    </row>
    <row r="22" spans="1:10" x14ac:dyDescent="0.2">
      <c r="B22" s="547" t="s">
        <v>182</v>
      </c>
      <c r="C22" s="548">
        <f>SUM('SAV+VALST+NEVALST'!C20, NVŠĮB!C20, ŠPTB!C13)</f>
        <v>16</v>
      </c>
      <c r="D22" s="548">
        <f>SUM('SAV+VALST+NEVALST'!D20, NVŠĮB!D20, ŠPTB!D13)</f>
        <v>180598</v>
      </c>
      <c r="E22" s="548">
        <f>SUM('SAV+VALST+NEVALST'!E20, NVŠĮB!E20, ŠPTB!E13)</f>
        <v>4177</v>
      </c>
      <c r="F22" s="548">
        <f>SUM('SAV+VALST+NEVALST'!F20, NVŠĮB!F20, ŠPTB!F13)</f>
        <v>36751</v>
      </c>
      <c r="G22" s="548">
        <f>SUM('SAV+VALST+NEVALST'!G20, NVŠĮB!G20, ŠPTB!G13)</f>
        <v>65635</v>
      </c>
      <c r="H22" s="548">
        <f>SUM('SAV+VALST+NEVALST'!H20, NVŠĮB!H20, ŠPTB!H13)</f>
        <v>22</v>
      </c>
      <c r="I22" s="548">
        <f>SUM('SAV+VALST+NEVALST'!I20, NVŠĮB!I20, ŠPTB!I13)</f>
        <v>16</v>
      </c>
      <c r="J22" s="548">
        <f>SUM('SAV+VALST+NEVALST'!J20, NVŠĮB!J20, ŠPTB!J13)</f>
        <v>16</v>
      </c>
    </row>
    <row r="23" spans="1:10" x14ac:dyDescent="0.2">
      <c r="A23" s="423"/>
      <c r="B23" s="547" t="s">
        <v>183</v>
      </c>
      <c r="C23" s="548">
        <f>SUM('SAV+VALST+NEVALST'!C21, NVŠĮB!C21)</f>
        <v>11</v>
      </c>
      <c r="D23" s="548">
        <f>SUM('SAV+VALST+NEVALST'!D21, NVŠĮB!D21)</f>
        <v>110908</v>
      </c>
      <c r="E23" s="548">
        <f>SUM('SAV+VALST+NEVALST'!E21, NVŠĮB!E21)</f>
        <v>3123</v>
      </c>
      <c r="F23" s="548">
        <f>SUM('SAV+VALST+NEVALST'!F21, NVŠĮB!F21)</f>
        <v>30115</v>
      </c>
      <c r="G23" s="463">
        <f>SUM('SAV+VALST+NEVALST'!G21, NVŠĮB!G21)</f>
        <v>87274</v>
      </c>
      <c r="H23" s="463">
        <f>SUM('SAV+VALST+NEVALST'!H21, NVŠĮB!H21)</f>
        <v>14</v>
      </c>
      <c r="I23" s="463">
        <f>SUM('SAV+VALST+NEVALST'!I21, NVŠĮB!I21)</f>
        <v>10</v>
      </c>
      <c r="J23" s="456">
        <f>SUM('SAV+VALST+NEVALST'!J21, NVŠĮB!J21)</f>
        <v>10</v>
      </c>
    </row>
    <row r="24" spans="1:10" x14ac:dyDescent="0.2">
      <c r="A24" s="423"/>
      <c r="B24" s="547" t="s">
        <v>92</v>
      </c>
      <c r="C24" s="548">
        <f>SUM('SAV+VALST+NEVALST'!C22, NVŠĮB!C22, PŠCB!C13)</f>
        <v>71</v>
      </c>
      <c r="D24" s="548">
        <f>SUM('SAV+VALST+NEVALST'!D22, NVŠĮB!D22, PŠCB!D13)</f>
        <v>644564</v>
      </c>
      <c r="E24" s="548">
        <f>SUM('SAV+VALST+NEVALST'!E22, NVŠĮB!E22, PŠCB!E13)</f>
        <v>34651</v>
      </c>
      <c r="F24" s="548">
        <f>SUM('SAV+VALST+NEVALST'!F22, NVŠĮB!F22, PŠCB!F13)</f>
        <v>318182</v>
      </c>
      <c r="G24" s="463">
        <f>SUM('SAV+VALST+NEVALST'!G22, NVŠĮB!G22, PŠCB!G13)</f>
        <v>317845</v>
      </c>
      <c r="H24" s="463">
        <f>SUM('SAV+VALST+NEVALST'!H22, NVŠĮB!H22, PŠCB!H13)</f>
        <v>95</v>
      </c>
      <c r="I24" s="463">
        <f>SUM('SAV+VALST+NEVALST'!I22, NVŠĮB!I22, PŠCB!I13)</f>
        <v>70</v>
      </c>
      <c r="J24" s="456">
        <f>SUM('SAV+VALST+NEVALST'!J22, NVŠĮB!J22, PŠCB!J13)</f>
        <v>70</v>
      </c>
    </row>
    <row r="25" spans="1:10" x14ac:dyDescent="0.2">
      <c r="A25" s="423"/>
      <c r="B25" s="547" t="s">
        <v>184</v>
      </c>
      <c r="C25" s="463">
        <f>SUM('SAV+VALST+NEVALST'!C23, NVŠĮB!C23, PŠCB!C14)</f>
        <v>21</v>
      </c>
      <c r="D25" s="463">
        <f>SUM('SAV+VALST+NEVALST'!D23, NVŠĮB!D23, PŠCB!D14)</f>
        <v>170760</v>
      </c>
      <c r="E25" s="463">
        <f>SUM('SAV+VALST+NEVALST'!E23, NVŠĮB!E23, PŠCB!E14)</f>
        <v>9095</v>
      </c>
      <c r="F25" s="463">
        <f>SUM('SAV+VALST+NEVALST'!F23, NVŠĮB!F23, PŠCB!F14)</f>
        <v>93829</v>
      </c>
      <c r="G25" s="463">
        <f>SUM('SAV+VALST+NEVALST'!G23, NVŠĮB!G23, PŠCB!G14)</f>
        <v>120424</v>
      </c>
      <c r="H25" s="463">
        <f>SUM('SAV+VALST+NEVALST'!H23, NVŠĮB!H23, PŠCB!H14)</f>
        <v>23</v>
      </c>
      <c r="I25" s="463">
        <f>SUM('SAV+VALST+NEVALST'!I23, NVŠĮB!I23, PŠCB!I14)</f>
        <v>20</v>
      </c>
      <c r="J25" s="456">
        <f>SUM('SAV+VALST+NEVALST'!J23, NVŠĮB!J23, PŠCB!J14)</f>
        <v>20</v>
      </c>
    </row>
    <row r="26" spans="1:10" x14ac:dyDescent="0.2">
      <c r="A26" s="423"/>
      <c r="B26" s="547" t="s">
        <v>185</v>
      </c>
      <c r="C26" s="463">
        <f>SUM('SAV+VALST+NEVALST'!C24, NVŠĮB!C24)</f>
        <v>15</v>
      </c>
      <c r="D26" s="463">
        <f>SUM('SAV+VALST+NEVALST'!D24, NVŠĮB!D24)</f>
        <v>132430</v>
      </c>
      <c r="E26" s="463">
        <f>SUM('SAV+VALST+NEVALST'!E24, NVŠĮB!E24)</f>
        <v>5464</v>
      </c>
      <c r="F26" s="463">
        <f>SUM('SAV+VALST+NEVALST'!F24, NVŠĮB!F24)</f>
        <v>59760</v>
      </c>
      <c r="G26" s="463">
        <f>SUM('SAV+VALST+NEVALST'!G24, NVŠĮB!G24)</f>
        <v>90063</v>
      </c>
      <c r="H26" s="463">
        <f>SUM('SAV+VALST+NEVALST'!H24, NVŠĮB!H24)</f>
        <v>21</v>
      </c>
      <c r="I26" s="463">
        <f>SUM('SAV+VALST+NEVALST'!I24, NVŠĮB!I24)</f>
        <v>14</v>
      </c>
      <c r="J26" s="456">
        <f>SUM('SAV+VALST+NEVALST'!J24, NVŠĮB!J24)</f>
        <v>14</v>
      </c>
    </row>
    <row r="27" spans="1:10" x14ac:dyDescent="0.2">
      <c r="A27" s="423"/>
      <c r="B27" s="547" t="s">
        <v>186</v>
      </c>
      <c r="C27" s="463">
        <f>SUM('SAV+VALST+NEVALST'!C25, NVŠĮB!C25, VGNB!C13)</f>
        <v>12</v>
      </c>
      <c r="D27" s="463">
        <f>SUM('SAV+VALST+NEVALST'!D25, NVŠĮB!D25, VGNB!D13)</f>
        <v>91185</v>
      </c>
      <c r="E27" s="463">
        <f>SUM('SAV+VALST+NEVALST'!E25, NVŠĮB!E25, VGNB!E13)</f>
        <v>3023</v>
      </c>
      <c r="F27" s="463">
        <f>SUM('SAV+VALST+NEVALST'!F25, NVŠĮB!F25, VGNB!F13)</f>
        <v>16222</v>
      </c>
      <c r="G27" s="463">
        <f>SUM('SAV+VALST+NEVALST'!G25, NVŠĮB!G25, VGNB!G13)</f>
        <v>12713</v>
      </c>
      <c r="H27" s="463">
        <f>SUM('SAV+VALST+NEVALST'!H25, NVŠĮB!H25, VGNB!H13)</f>
        <v>12</v>
      </c>
      <c r="I27" s="463">
        <f>SUM('SAV+VALST+NEVALST'!I25, NVŠĮB!I25, VGNB!I13)</f>
        <v>11</v>
      </c>
      <c r="J27" s="456">
        <f>SUM('SAV+VALST+NEVALST'!J25, NVŠĮB!J25, VGNB!J13)</f>
        <v>11</v>
      </c>
    </row>
    <row r="28" spans="1:10" ht="13.5" customHeight="1" x14ac:dyDescent="0.2">
      <c r="A28" s="423"/>
      <c r="B28" s="546" t="s">
        <v>187</v>
      </c>
      <c r="C28" s="463">
        <f>SUM('SAV+VALST+NEVALST'!C26, NVŠĮB!C26)</f>
        <v>11</v>
      </c>
      <c r="D28" s="463">
        <f>SUM('SAV+VALST+NEVALST'!D26, NVŠĮB!D26)</f>
        <v>106890</v>
      </c>
      <c r="E28" s="463">
        <f>SUM('SAV+VALST+NEVALST'!E26, NVŠĮB!E26)</f>
        <v>3110</v>
      </c>
      <c r="F28" s="463">
        <f>SUM('SAV+VALST+NEVALST'!F26, NVŠĮB!F26)</f>
        <v>34039</v>
      </c>
      <c r="G28" s="463">
        <f>SUM('SAV+VALST+NEVALST'!G26, NVŠĮB!G26)</f>
        <v>73436</v>
      </c>
      <c r="H28" s="463">
        <f>SUM('SAV+VALST+NEVALST'!H26, NVŠĮB!H26)</f>
        <v>13</v>
      </c>
      <c r="I28" s="463">
        <f>SUM('SAV+VALST+NEVALST'!I26, NVŠĮB!I26)</f>
        <v>11</v>
      </c>
      <c r="J28" s="458">
        <f>SUM('SAV+VALST+NEVALST'!J26, NVŠĮB!J26)</f>
        <v>11</v>
      </c>
    </row>
    <row r="29" spans="1:10" ht="14.25" customHeight="1" x14ac:dyDescent="0.2">
      <c r="B29" s="545" t="s">
        <v>22</v>
      </c>
      <c r="C29" s="434">
        <f>SUM(C21:C28)</f>
        <v>158</v>
      </c>
      <c r="D29" s="434">
        <f t="shared" ref="D29:J29" si="1">SUM(D21:D28)</f>
        <v>1446238</v>
      </c>
      <c r="E29" s="434">
        <f t="shared" si="1"/>
        <v>63062</v>
      </c>
      <c r="F29" s="434">
        <f t="shared" si="1"/>
        <v>589956</v>
      </c>
      <c r="G29" s="434">
        <f t="shared" si="1"/>
        <v>775653</v>
      </c>
      <c r="H29" s="434">
        <f t="shared" si="1"/>
        <v>201</v>
      </c>
      <c r="I29" s="434">
        <f t="shared" si="1"/>
        <v>153</v>
      </c>
      <c r="J29" s="434">
        <f t="shared" si="1"/>
        <v>153</v>
      </c>
    </row>
    <row r="30" spans="1:10" x14ac:dyDescent="0.2">
      <c r="B30" s="428" t="s">
        <v>153</v>
      </c>
      <c r="C30" s="423"/>
      <c r="D30" s="423"/>
      <c r="E30" s="423"/>
      <c r="F30" s="423"/>
      <c r="G30" s="423"/>
      <c r="H30" s="423"/>
      <c r="I30" s="423"/>
      <c r="J30" s="429"/>
    </row>
    <row r="31" spans="1:10" x14ac:dyDescent="0.2">
      <c r="B31" s="430" t="s">
        <v>94</v>
      </c>
      <c r="C31" s="423">
        <f>SUM('SAV+VALST+NEVALST'!C29, NVŠĮB!C29)</f>
        <v>39</v>
      </c>
      <c r="D31" s="423">
        <f>SUM('SAV+VALST+NEVALST'!D29, NVŠĮB!D29)</f>
        <v>443751</v>
      </c>
      <c r="E31" s="423">
        <f>SUM('SAV+VALST+NEVALST'!E29, NVŠĮB!E29)</f>
        <v>17269</v>
      </c>
      <c r="F31" s="423">
        <f>SUM('SAV+VALST+NEVALST'!F29, NVŠĮB!F29)</f>
        <v>193584</v>
      </c>
      <c r="G31" s="423">
        <f>SUM('SAV+VALST+NEVALST'!G29, NVŠĮB!G29)</f>
        <v>166167</v>
      </c>
      <c r="H31" s="423">
        <f>SUM('SAV+VALST+NEVALST'!H29, NVŠĮB!H29)</f>
        <v>49</v>
      </c>
      <c r="I31" s="423">
        <f>SUM('SAV+VALST+NEVALST'!I29, NVŠĮB!I29)</f>
        <v>37</v>
      </c>
      <c r="J31" s="431">
        <f>SUM('SAV+VALST+NEVALST'!J29, NVŠĮB!J29)</f>
        <v>37</v>
      </c>
    </row>
    <row r="32" spans="1:10" x14ac:dyDescent="0.2">
      <c r="B32" s="430" t="s">
        <v>188</v>
      </c>
      <c r="C32" s="423">
        <f>SUM('SAV+VALST+NEVALST'!C30, NVŠĮB!C30)</f>
        <v>14</v>
      </c>
      <c r="D32" s="423">
        <f>SUM('SAV+VALST+NEVALST'!D30, NVŠĮB!D30)</f>
        <v>120259</v>
      </c>
      <c r="E32" s="423">
        <f>SUM('SAV+VALST+NEVALST'!E30, NVŠĮB!E30)</f>
        <v>4859</v>
      </c>
      <c r="F32" s="423">
        <f>SUM('SAV+VALST+NEVALST'!F30, NVŠĮB!F30)</f>
        <v>52546</v>
      </c>
      <c r="G32" s="423">
        <f>SUM('SAV+VALST+NEVALST'!G30, NVŠĮB!G30)</f>
        <v>69396</v>
      </c>
      <c r="H32" s="423">
        <f>SUM('SAV+VALST+NEVALST'!H30, NVŠĮB!H30)</f>
        <v>24</v>
      </c>
      <c r="I32" s="423">
        <f>SUM('SAV+VALST+NEVALST'!I30, NVŠĮB!I30)</f>
        <v>14</v>
      </c>
      <c r="J32" s="431">
        <f>SUM('SAV+VALST+NEVALST'!J30, NVŠĮB!J30)</f>
        <v>14</v>
      </c>
    </row>
    <row r="33" spans="2:10" x14ac:dyDescent="0.2">
      <c r="B33" s="430" t="s">
        <v>189</v>
      </c>
      <c r="C33" s="423">
        <f>SUM('SAV+VALST+NEVALST'!C31, NVŠĮB!C31)</f>
        <v>14</v>
      </c>
      <c r="D33" s="423">
        <f>SUM('SAV+VALST+NEVALST'!D31, NVŠĮB!D31)</f>
        <v>93080</v>
      </c>
      <c r="E33" s="423">
        <f>SUM('SAV+VALST+NEVALST'!E31, NVŠĮB!E31)</f>
        <v>4995</v>
      </c>
      <c r="F33" s="423">
        <f>SUM('SAV+VALST+NEVALST'!F31, NVŠĮB!F31)</f>
        <v>38507</v>
      </c>
      <c r="G33" s="423">
        <f>SUM('SAV+VALST+NEVALST'!G31, NVŠĮB!G31)</f>
        <v>71341</v>
      </c>
      <c r="H33" s="423">
        <f>SUM('SAV+VALST+NEVALST'!H31, NVŠĮB!H31)</f>
        <v>21</v>
      </c>
      <c r="I33" s="423">
        <f>SUM('SAV+VALST+NEVALST'!I31, NVŠĮB!I31)</f>
        <v>14</v>
      </c>
      <c r="J33" s="431">
        <f>SUM('SAV+VALST+NEVALST'!J31, NVŠĮB!J31)</f>
        <v>14</v>
      </c>
    </row>
    <row r="34" spans="2:10" x14ac:dyDescent="0.2">
      <c r="B34" s="430" t="s">
        <v>95</v>
      </c>
      <c r="C34" s="423">
        <f>SUM('SAV+VALST+NEVALST'!C32, NVŠĮB!C32)</f>
        <v>1</v>
      </c>
      <c r="D34" s="423">
        <f>SUM('SAV+VALST+NEVALST'!D32, NVŠĮB!D32)</f>
        <v>12267</v>
      </c>
      <c r="E34" s="423">
        <f>SUM('SAV+VALST+NEVALST'!E32, NVŠĮB!E32)</f>
        <v>110</v>
      </c>
      <c r="F34" s="423">
        <f>SUM('SAV+VALST+NEVALST'!F32, NVŠĮB!F32)</f>
        <v>1378</v>
      </c>
      <c r="G34" s="423">
        <f>SUM('SAV+VALST+NEVALST'!G32, NVŠĮB!G32)</f>
        <v>1452</v>
      </c>
      <c r="H34" s="423">
        <f>SUM('SAV+VALST+NEVALST'!H32, NVŠĮB!H32)</f>
        <v>1</v>
      </c>
      <c r="I34" s="423">
        <f>SUM('SAV+VALST+NEVALST'!I32, NVŠĮB!I32)</f>
        <v>1</v>
      </c>
      <c r="J34" s="431">
        <f>SUM('SAV+VALST+NEVALST'!J32, NVŠĮB!J32)</f>
        <v>1</v>
      </c>
    </row>
    <row r="35" spans="2:10" x14ac:dyDescent="0.2">
      <c r="B35" s="430" t="s">
        <v>96</v>
      </c>
      <c r="C35" s="423">
        <f>SUM('SAV+VALST+NEVALST'!C33, NVŠĮB!C33)</f>
        <v>7</v>
      </c>
      <c r="D35" s="423">
        <f>SUM('SAV+VALST+NEVALST'!D33, NVŠĮB!D33)</f>
        <v>92183</v>
      </c>
      <c r="E35" s="423">
        <f>SUM('SAV+VALST+NEVALST'!E33, NVŠĮB!E33)</f>
        <v>3507</v>
      </c>
      <c r="F35" s="423">
        <f>SUM('SAV+VALST+NEVALST'!F33, NVŠĮB!F33)</f>
        <v>20058</v>
      </c>
      <c r="G35" s="423">
        <f>SUM('SAV+VALST+NEVALST'!G33, NVŠĮB!G33)</f>
        <v>35400</v>
      </c>
      <c r="H35" s="423">
        <f>SUM('SAV+VALST+NEVALST'!H33, NVŠĮB!H33)</f>
        <v>10</v>
      </c>
      <c r="I35" s="423">
        <f>SUM('SAV+VALST+NEVALST'!I33, NVŠĮB!I33)</f>
        <v>7</v>
      </c>
      <c r="J35" s="431">
        <f>SUM('SAV+VALST+NEVALST'!J33, NVŠĮB!J33)</f>
        <v>7</v>
      </c>
    </row>
    <row r="36" spans="2:10" x14ac:dyDescent="0.2">
      <c r="B36" s="430" t="s">
        <v>190</v>
      </c>
      <c r="C36" s="423">
        <f>SUM('SAV+VALST+NEVALST'!C34, NVŠĮB!C34)</f>
        <v>5</v>
      </c>
      <c r="D36" s="423">
        <f>SUM('SAV+VALST+NEVALST'!D34, NVŠĮB!D34)</f>
        <v>53386</v>
      </c>
      <c r="E36" s="423">
        <f>SUM('SAV+VALST+NEVALST'!E34, NVŠĮB!E34)</f>
        <v>1172</v>
      </c>
      <c r="F36" s="423">
        <f>SUM('SAV+VALST+NEVALST'!F34, NVŠĮB!F34)</f>
        <v>20126</v>
      </c>
      <c r="G36" s="423">
        <f>SUM('SAV+VALST+NEVALST'!G34, NVŠĮB!G34)</f>
        <v>15310</v>
      </c>
      <c r="H36" s="423">
        <f>SUM('SAV+VALST+NEVALST'!H34, NVŠĮB!H34)</f>
        <v>5</v>
      </c>
      <c r="I36" s="423">
        <f>SUM('SAV+VALST+NEVALST'!I34, NVŠĮB!I34)</f>
        <v>4</v>
      </c>
      <c r="J36" s="431">
        <f>SUM('SAV+VALST+NEVALST'!J34, NVŠĮB!J34)</f>
        <v>4</v>
      </c>
    </row>
    <row r="37" spans="2:10" x14ac:dyDescent="0.2">
      <c r="B37" s="430" t="s">
        <v>191</v>
      </c>
      <c r="C37" s="423">
        <f>SUM('SAV+VALST+NEVALST'!C35, NVŠĮB!C35)</f>
        <v>12</v>
      </c>
      <c r="D37" s="423">
        <f>SUM('SAV+VALST+NEVALST'!D35, NVŠĮB!D35)</f>
        <v>122879</v>
      </c>
      <c r="E37" s="423">
        <f>SUM('SAV+VALST+NEVALST'!E35, NVŠĮB!E35)</f>
        <v>3969</v>
      </c>
      <c r="F37" s="423">
        <f>SUM('SAV+VALST+NEVALST'!F35, NVŠĮB!F35)</f>
        <v>43510</v>
      </c>
      <c r="G37" s="423">
        <f>SUM('SAV+VALST+NEVALST'!G35, NVŠĮB!G35)</f>
        <v>66759</v>
      </c>
      <c r="H37" s="423">
        <f>SUM('SAV+VALST+NEVALST'!H35, NVŠĮB!H35)</f>
        <v>15</v>
      </c>
      <c r="I37" s="423">
        <f>SUM('SAV+VALST+NEVALST'!I35, NVŠĮB!I35)</f>
        <v>11</v>
      </c>
      <c r="J37" s="433">
        <f>SUM('SAV+VALST+NEVALST'!J35, NVŠĮB!J35)</f>
        <v>11</v>
      </c>
    </row>
    <row r="38" spans="2:10" ht="14.25" customHeight="1" x14ac:dyDescent="0.2">
      <c r="B38" s="434" t="s">
        <v>22</v>
      </c>
      <c r="C38" s="434">
        <f>SUM(C31:C37)</f>
        <v>92</v>
      </c>
      <c r="D38" s="434">
        <f t="shared" ref="D38:J38" si="2">SUM(D31:D37)</f>
        <v>937805</v>
      </c>
      <c r="E38" s="434">
        <f t="shared" si="2"/>
        <v>35881</v>
      </c>
      <c r="F38" s="434">
        <f t="shared" si="2"/>
        <v>369709</v>
      </c>
      <c r="G38" s="434">
        <f t="shared" si="2"/>
        <v>425825</v>
      </c>
      <c r="H38" s="434">
        <f t="shared" si="2"/>
        <v>125</v>
      </c>
      <c r="I38" s="434">
        <f t="shared" si="2"/>
        <v>88</v>
      </c>
      <c r="J38" s="434">
        <f t="shared" si="2"/>
        <v>88</v>
      </c>
    </row>
    <row r="39" spans="2:10" x14ac:dyDescent="0.2">
      <c r="B39" s="428" t="s">
        <v>97</v>
      </c>
      <c r="C39" s="423"/>
      <c r="D39" s="423"/>
      <c r="E39" s="423"/>
      <c r="F39" s="423"/>
      <c r="G39" s="423"/>
      <c r="H39" s="423"/>
      <c r="I39" s="423"/>
      <c r="J39" s="429"/>
    </row>
    <row r="40" spans="2:10" x14ac:dyDescent="0.2">
      <c r="B40" s="430" t="s">
        <v>98</v>
      </c>
      <c r="C40" s="423">
        <f>SUM('SAV+VALST+NEVALST'!C38, NVŠĮB!C38)</f>
        <v>4</v>
      </c>
      <c r="D40" s="423">
        <f>SUM('SAV+VALST+NEVALST'!D38, NVŠĮB!D38)</f>
        <v>43480</v>
      </c>
      <c r="E40" s="423">
        <f>SUM('SAV+VALST+NEVALST'!E38, NVŠĮB!E38)</f>
        <v>781</v>
      </c>
      <c r="F40" s="423">
        <f>SUM('SAV+VALST+NEVALST'!F38, NVŠĮB!F38)</f>
        <v>5155</v>
      </c>
      <c r="G40" s="423">
        <f>SUM('SAV+VALST+NEVALST'!G38, NVŠĮB!G38)</f>
        <v>9043</v>
      </c>
      <c r="H40" s="423">
        <f>SUM('SAV+VALST+NEVALST'!H38, NVŠĮB!H38)</f>
        <v>5</v>
      </c>
      <c r="I40" s="423">
        <f>SUM('SAV+VALST+NEVALST'!I38, NVŠĮB!I38)</f>
        <v>4</v>
      </c>
      <c r="J40" s="431">
        <f>SUM('SAV+VALST+NEVALST'!J38, NVŠĮB!J38)</f>
        <v>4</v>
      </c>
    </row>
    <row r="41" spans="2:10" x14ac:dyDescent="0.2">
      <c r="B41" s="430" t="s">
        <v>99</v>
      </c>
      <c r="C41" s="423">
        <f>SUM('SAV+VALST+NEVALST'!C39, NVŠĮB!C39)</f>
        <v>3</v>
      </c>
      <c r="D41" s="423">
        <f>SUM('SAV+VALST+NEVALST'!D39, NVŠĮB!D39)</f>
        <v>16553</v>
      </c>
      <c r="E41" s="423">
        <f>SUM('SAV+VALST+NEVALST'!E39, NVŠĮB!E39)</f>
        <v>694</v>
      </c>
      <c r="F41" s="423">
        <f>SUM('SAV+VALST+NEVALST'!F39, NVŠĮB!F39)</f>
        <v>9273</v>
      </c>
      <c r="G41" s="423">
        <f>SUM('SAV+VALST+NEVALST'!G39, NVŠĮB!G39)</f>
        <v>8224</v>
      </c>
      <c r="H41" s="423">
        <f>SUM('SAV+VALST+NEVALST'!H39, NVŠĮB!H39)</f>
        <v>4</v>
      </c>
      <c r="I41" s="423">
        <f>SUM('SAV+VALST+NEVALST'!I39, NVŠĮB!I39)</f>
        <v>3</v>
      </c>
      <c r="J41" s="431">
        <f>SUM('SAV+VALST+NEVALST'!J39, NVŠĮB!J39)</f>
        <v>3</v>
      </c>
    </row>
    <row r="42" spans="2:10" x14ac:dyDescent="0.2">
      <c r="B42" s="430" t="s">
        <v>100</v>
      </c>
      <c r="C42" s="423">
        <f>SUM('SAV+VALST+NEVALST'!C40, NVŠĮB!C40)</f>
        <v>17</v>
      </c>
      <c r="D42" s="423">
        <f>SUM('SAV+VALST+NEVALST'!D40, NVŠĮB!D40)</f>
        <v>162106</v>
      </c>
      <c r="E42" s="423">
        <f>SUM('SAV+VALST+NEVALST'!E40, NVŠĮB!E40)</f>
        <v>6101</v>
      </c>
      <c r="F42" s="423">
        <f>SUM('SAV+VALST+NEVALST'!F40, NVŠĮB!F40)</f>
        <v>51368</v>
      </c>
      <c r="G42" s="423">
        <f>SUM('SAV+VALST+NEVALST'!G40, NVŠĮB!G40)</f>
        <v>79231</v>
      </c>
      <c r="H42" s="423">
        <f>SUM('SAV+VALST+NEVALST'!H40, NVŠĮB!H40)</f>
        <v>20</v>
      </c>
      <c r="I42" s="423">
        <f>SUM('SAV+VALST+NEVALST'!I40, NVŠĮB!I40)</f>
        <v>17</v>
      </c>
      <c r="J42" s="431">
        <f>SUM('SAV+VALST+NEVALST'!J40, NVŠĮB!J40)</f>
        <v>17</v>
      </c>
    </row>
    <row r="43" spans="2:10" x14ac:dyDescent="0.2">
      <c r="B43" s="430" t="s">
        <v>192</v>
      </c>
      <c r="C43" s="423">
        <f>SUM('SAV+VALST+NEVALST'!C41, NVŠĮB!C41)</f>
        <v>11</v>
      </c>
      <c r="D43" s="423">
        <f>SUM('SAV+VALST+NEVALST'!D41, NVŠĮB!D41)</f>
        <v>120378</v>
      </c>
      <c r="E43" s="423">
        <f>SUM('SAV+VALST+NEVALST'!E41, NVŠĮB!E41)</f>
        <v>3128</v>
      </c>
      <c r="F43" s="423">
        <f>SUM('SAV+VALST+NEVALST'!F41, NVŠĮB!F41)</f>
        <v>28476</v>
      </c>
      <c r="G43" s="423">
        <f>SUM('SAV+VALST+NEVALST'!G41, NVŠĮB!G41)</f>
        <v>42860</v>
      </c>
      <c r="H43" s="423">
        <f>SUM('SAV+VALST+NEVALST'!H41, NVŠĮB!H41)</f>
        <v>13</v>
      </c>
      <c r="I43" s="423">
        <f>SUM('SAV+VALST+NEVALST'!I41, NVŠĮB!I41)</f>
        <v>9</v>
      </c>
      <c r="J43" s="431">
        <f>SUM('SAV+VALST+NEVALST'!J41, NVŠĮB!J41)</f>
        <v>9</v>
      </c>
    </row>
    <row r="44" spans="2:10" x14ac:dyDescent="0.2">
      <c r="B44" s="430" t="s">
        <v>193</v>
      </c>
      <c r="C44" s="423">
        <f>SUM('SAV+VALST+NEVALST'!C42, NVŠĮB!C42)</f>
        <v>14</v>
      </c>
      <c r="D44" s="423">
        <f>SUM('SAV+VALST+NEVALST'!D42, NVŠĮB!D42)</f>
        <v>173282</v>
      </c>
      <c r="E44" s="423">
        <f>SUM('SAV+VALST+NEVALST'!E42, NVŠĮB!E42)</f>
        <v>4083</v>
      </c>
      <c r="F44" s="423">
        <f>SUM('SAV+VALST+NEVALST'!F42, NVŠĮB!F42)</f>
        <v>29781</v>
      </c>
      <c r="G44" s="423">
        <f>SUM('SAV+VALST+NEVALST'!G42, NVŠĮB!G42)</f>
        <v>88564</v>
      </c>
      <c r="H44" s="423">
        <f>SUM('SAV+VALST+NEVALST'!H42, NVŠĮB!H42)</f>
        <v>22</v>
      </c>
      <c r="I44" s="423">
        <f>SUM('SAV+VALST+NEVALST'!I42, NVŠĮB!I42)</f>
        <v>14</v>
      </c>
      <c r="J44" s="433">
        <f>SUM('SAV+VALST+NEVALST'!J42, NVŠĮB!J42)</f>
        <v>14</v>
      </c>
    </row>
    <row r="45" spans="2:10" ht="15" customHeight="1" x14ac:dyDescent="0.2">
      <c r="B45" s="434" t="s">
        <v>22</v>
      </c>
      <c r="C45" s="434">
        <f>SUM(C40:C44)</f>
        <v>49</v>
      </c>
      <c r="D45" s="434">
        <f t="shared" ref="D45:J45" si="3">SUM(D40:D44)</f>
        <v>515799</v>
      </c>
      <c r="E45" s="434">
        <f t="shared" si="3"/>
        <v>14787</v>
      </c>
      <c r="F45" s="434">
        <f t="shared" si="3"/>
        <v>124053</v>
      </c>
      <c r="G45" s="434">
        <f t="shared" si="3"/>
        <v>227922</v>
      </c>
      <c r="H45" s="434">
        <f t="shared" si="3"/>
        <v>64</v>
      </c>
      <c r="I45" s="434">
        <f t="shared" si="3"/>
        <v>47</v>
      </c>
      <c r="J45" s="434">
        <f t="shared" si="3"/>
        <v>47</v>
      </c>
    </row>
    <row r="46" spans="2:10" x14ac:dyDescent="0.2">
      <c r="B46" s="428" t="s">
        <v>154</v>
      </c>
      <c r="C46" s="423"/>
      <c r="D46" s="423"/>
      <c r="E46" s="423"/>
      <c r="F46" s="423"/>
      <c r="G46" s="423"/>
      <c r="H46" s="423"/>
      <c r="I46" s="423"/>
      <c r="J46" s="429"/>
    </row>
    <row r="47" spans="2:10" x14ac:dyDescent="0.2">
      <c r="B47" s="430" t="s">
        <v>194</v>
      </c>
      <c r="C47" s="423">
        <f>SUM('SAV+VALST+NEVALST'!C45, NVŠĮB!C45)</f>
        <v>6</v>
      </c>
      <c r="D47" s="423">
        <f>SUM('SAV+VALST+NEVALST'!D45, NVŠĮB!D45)</f>
        <v>127648</v>
      </c>
      <c r="E47" s="423">
        <f>SUM('SAV+VALST+NEVALST'!E45, NVŠĮB!E45)</f>
        <v>2450</v>
      </c>
      <c r="F47" s="423">
        <f>SUM('SAV+VALST+NEVALST'!F45, NVŠĮB!F45)</f>
        <v>19884</v>
      </c>
      <c r="G47" s="423">
        <f>SUM('SAV+VALST+NEVALST'!G45, NVŠĮB!G45)</f>
        <v>21392</v>
      </c>
      <c r="H47" s="423">
        <f>SUM('SAV+VALST+NEVALST'!H45, NVŠĮB!H45)</f>
        <v>11</v>
      </c>
      <c r="I47" s="423">
        <f>SUM('SAV+VALST+NEVALST'!I45, NVŠĮB!I45)</f>
        <v>5</v>
      </c>
      <c r="J47" s="431">
        <f>SUM('SAV+VALST+NEVALST'!J45, NVŠĮB!J45)</f>
        <v>5</v>
      </c>
    </row>
    <row r="48" spans="2:10" x14ac:dyDescent="0.2">
      <c r="B48" s="430" t="s">
        <v>195</v>
      </c>
      <c r="C48" s="423">
        <f>SUM('SAV+VALST+NEVALST'!C46, NVŠĮB!C46)</f>
        <v>5</v>
      </c>
      <c r="D48" s="423">
        <f>SUM('SAV+VALST+NEVALST'!D46, NVŠĮB!D46)</f>
        <v>44844</v>
      </c>
      <c r="E48" s="423">
        <f>SUM('SAV+VALST+NEVALST'!E46, NVŠĮB!E46)</f>
        <v>1487</v>
      </c>
      <c r="F48" s="423">
        <f>SUM('SAV+VALST+NEVALST'!F46, NVŠĮB!F46)</f>
        <v>14330</v>
      </c>
      <c r="G48" s="423">
        <f>SUM('SAV+VALST+NEVALST'!G46, NVŠĮB!G46)</f>
        <v>11849</v>
      </c>
      <c r="H48" s="423">
        <f>SUM('SAV+VALST+NEVALST'!H46, NVŠĮB!H46)</f>
        <v>7</v>
      </c>
      <c r="I48" s="423">
        <f>SUM('SAV+VALST+NEVALST'!I46, NVŠĮB!I46)</f>
        <v>4</v>
      </c>
      <c r="J48" s="431">
        <f>SUM('SAV+VALST+NEVALST'!J46, NVŠĮB!J46)</f>
        <v>4</v>
      </c>
    </row>
    <row r="49" spans="2:10" x14ac:dyDescent="0.2">
      <c r="B49" s="430" t="s">
        <v>102</v>
      </c>
      <c r="C49" s="423">
        <f>SUM('SAV+VALST+NEVALST'!C47, NVŠĮB!C47)</f>
        <v>23</v>
      </c>
      <c r="D49" s="423">
        <f>SUM('SAV+VALST+NEVALST'!D47, NVŠĮB!D47)</f>
        <v>267111</v>
      </c>
      <c r="E49" s="423">
        <f>SUM('SAV+VALST+NEVALST'!E47, NVŠĮB!E47)</f>
        <v>10886</v>
      </c>
      <c r="F49" s="423">
        <f>SUM('SAV+VALST+NEVALST'!F47, NVŠĮB!F47)</f>
        <v>116436</v>
      </c>
      <c r="G49" s="423">
        <f>SUM('SAV+VALST+NEVALST'!G47, NVŠĮB!G47)</f>
        <v>186944</v>
      </c>
      <c r="H49" s="423">
        <f>SUM('SAV+VALST+NEVALST'!H47, NVŠĮB!H47)</f>
        <v>36</v>
      </c>
      <c r="I49" s="423">
        <f>SUM('SAV+VALST+NEVALST'!I47, NVŠĮB!I47)</f>
        <v>23</v>
      </c>
      <c r="J49" s="431">
        <f>SUM('SAV+VALST+NEVALST'!J47, NVŠĮB!J47)</f>
        <v>23</v>
      </c>
    </row>
    <row r="50" spans="2:10" x14ac:dyDescent="0.2">
      <c r="B50" s="430" t="s">
        <v>196</v>
      </c>
      <c r="C50" s="423">
        <f>SUM('SAV+VALST+NEVALST'!C48, NVŠĮB!C48)</f>
        <v>12</v>
      </c>
      <c r="D50" s="423">
        <f>SUM('SAV+VALST+NEVALST'!D48, NVŠĮB!D48)</f>
        <v>125552</v>
      </c>
      <c r="E50" s="423">
        <f>SUM('SAV+VALST+NEVALST'!E48, NVŠĮB!E48)</f>
        <v>2559</v>
      </c>
      <c r="F50" s="423">
        <f>SUM('SAV+VALST+NEVALST'!F48, NVŠĮB!F48)</f>
        <v>34747</v>
      </c>
      <c r="G50" s="423">
        <f>SUM('SAV+VALST+NEVALST'!G48, NVŠĮB!G48)</f>
        <v>29659</v>
      </c>
      <c r="H50" s="423">
        <f>SUM('SAV+VALST+NEVALST'!H48, NVŠĮB!H48)</f>
        <v>15</v>
      </c>
      <c r="I50" s="423">
        <f>SUM('SAV+VALST+NEVALST'!I48, NVŠĮB!I48)</f>
        <v>10</v>
      </c>
      <c r="J50" s="431">
        <f>SUM('SAV+VALST+NEVALST'!J48, NVŠĮB!J48)</f>
        <v>10</v>
      </c>
    </row>
    <row r="51" spans="2:10" x14ac:dyDescent="0.2">
      <c r="B51" s="547" t="s">
        <v>197</v>
      </c>
      <c r="C51" s="548">
        <f>SUM('SAV+VALST+NEVALST'!C49, NVŠĮB!C49)</f>
        <v>10</v>
      </c>
      <c r="D51" s="423">
        <f>SUM('SAV+VALST+NEVALST'!D49, NVŠĮB!D49)</f>
        <v>124640</v>
      </c>
      <c r="E51" s="423">
        <f>SUM('SAV+VALST+NEVALST'!E49, NVŠĮB!E49)</f>
        <v>2413</v>
      </c>
      <c r="F51" s="423">
        <f>SUM('SAV+VALST+NEVALST'!F49, NVŠĮB!F49)</f>
        <v>23171</v>
      </c>
      <c r="G51" s="423">
        <f>SUM('SAV+VALST+NEVALST'!G49, NVŠĮB!G49)</f>
        <v>50648</v>
      </c>
      <c r="H51" s="423">
        <f>SUM('SAV+VALST+NEVALST'!H49, NVŠĮB!H49)</f>
        <v>11</v>
      </c>
      <c r="I51" s="423">
        <f>SUM('SAV+VALST+NEVALST'!I49, NVŠĮB!I49)</f>
        <v>10</v>
      </c>
      <c r="J51" s="431">
        <f>SUM('SAV+VALST+NEVALST'!J49, NVŠĮB!J49)</f>
        <v>10</v>
      </c>
    </row>
    <row r="52" spans="2:10" x14ac:dyDescent="0.2">
      <c r="B52" s="547" t="s">
        <v>198</v>
      </c>
      <c r="C52" s="548">
        <f>SUM('SAV+VALST+NEVALST'!C50, NVŠĮB!C50, PŠCB!C18)</f>
        <v>10</v>
      </c>
      <c r="D52" s="423">
        <f>SUM('SAV+VALST+NEVALST'!D50, NVŠĮB!D50, PŠCB!D18)</f>
        <v>117437</v>
      </c>
      <c r="E52" s="423">
        <f>SUM('SAV+VALST+NEVALST'!E50, NVŠĮB!E50, PŠCB!E18)</f>
        <v>2411</v>
      </c>
      <c r="F52" s="423">
        <f>SUM('SAV+VALST+NEVALST'!F50, NVŠĮB!F50, PŠCB!F18)</f>
        <v>24313</v>
      </c>
      <c r="G52" s="423">
        <f>SUM('SAV+VALST+NEVALST'!G50, NVŠĮB!G50, PŠCB!G18)</f>
        <v>25152</v>
      </c>
      <c r="H52" s="423">
        <f>SUM('SAV+VALST+NEVALST'!H50, NVŠĮB!H50, PŠCB!H18)</f>
        <v>13</v>
      </c>
      <c r="I52" s="423">
        <f>SUM('SAV+VALST+NEVALST'!I50, NVŠĮB!I50, PŠCB!I18)</f>
        <v>9</v>
      </c>
      <c r="J52" s="433">
        <f>SUM('SAV+VALST+NEVALST'!J50, NVŠĮB!J50, PŠCB!J18)</f>
        <v>9</v>
      </c>
    </row>
    <row r="53" spans="2:10" ht="16.5" customHeight="1" x14ac:dyDescent="0.2">
      <c r="B53" s="434" t="s">
        <v>22</v>
      </c>
      <c r="C53" s="434">
        <f>SUM(C47:C52)</f>
        <v>66</v>
      </c>
      <c r="D53" s="434">
        <f t="shared" ref="D53:J53" si="4">SUM(D47:D52)</f>
        <v>807232</v>
      </c>
      <c r="E53" s="434">
        <f t="shared" si="4"/>
        <v>22206</v>
      </c>
      <c r="F53" s="434">
        <f t="shared" si="4"/>
        <v>232881</v>
      </c>
      <c r="G53" s="434">
        <f t="shared" si="4"/>
        <v>325644</v>
      </c>
      <c r="H53" s="434">
        <f t="shared" si="4"/>
        <v>93</v>
      </c>
      <c r="I53" s="434">
        <f t="shared" si="4"/>
        <v>61</v>
      </c>
      <c r="J53" s="434">
        <f t="shared" si="4"/>
        <v>61</v>
      </c>
    </row>
    <row r="56" spans="2:10" x14ac:dyDescent="0.2">
      <c r="B56" s="423"/>
      <c r="C56" s="423"/>
      <c r="D56" s="423"/>
      <c r="E56" s="423"/>
      <c r="F56" s="423"/>
      <c r="G56" s="423"/>
      <c r="H56" s="423"/>
      <c r="I56" s="423"/>
      <c r="J56" s="423"/>
    </row>
    <row r="57" spans="2:10" x14ac:dyDescent="0.2">
      <c r="B57" s="423"/>
      <c r="C57" s="423"/>
      <c r="D57" s="423"/>
      <c r="E57" s="423"/>
      <c r="F57" s="423"/>
      <c r="G57" s="423"/>
      <c r="H57" s="423"/>
      <c r="I57" s="423"/>
      <c r="J57" s="423"/>
    </row>
    <row r="58" spans="2:10" x14ac:dyDescent="0.2">
      <c r="B58" s="423"/>
      <c r="C58" s="42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2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23"/>
      <c r="D60" s="423"/>
      <c r="E60" s="423"/>
      <c r="F60" s="423"/>
      <c r="G60" s="423"/>
      <c r="H60" s="423"/>
      <c r="I60" s="423"/>
      <c r="J60" s="423"/>
    </row>
    <row r="61" spans="2:10" x14ac:dyDescent="0.2">
      <c r="B61" s="423"/>
      <c r="C61" s="423"/>
      <c r="D61" s="423"/>
      <c r="E61" s="423"/>
      <c r="F61" s="423"/>
      <c r="G61" s="423"/>
      <c r="H61" s="423"/>
      <c r="I61" s="423"/>
      <c r="J61" s="423"/>
    </row>
    <row r="62" spans="2:10" x14ac:dyDescent="0.2">
      <c r="B62" s="423"/>
      <c r="C62" s="423"/>
      <c r="D62" s="423"/>
      <c r="E62" s="423"/>
      <c r="F62" s="423"/>
      <c r="G62" s="423"/>
      <c r="H62" s="423"/>
      <c r="I62" s="423"/>
      <c r="J62" s="423"/>
    </row>
    <row r="63" spans="2:10" x14ac:dyDescent="0.2">
      <c r="B63" s="423"/>
      <c r="C63" s="423"/>
      <c r="D63" s="423"/>
      <c r="E63" s="423"/>
      <c r="F63" s="423"/>
      <c r="G63" s="423"/>
      <c r="H63" s="423"/>
      <c r="I63" s="423"/>
      <c r="J63" s="423"/>
    </row>
    <row r="64" spans="2:10" x14ac:dyDescent="0.2">
      <c r="B64" s="423"/>
      <c r="C64" s="423"/>
      <c r="D64" s="423"/>
      <c r="E64" s="423"/>
      <c r="F64" s="423"/>
      <c r="G64" s="423"/>
      <c r="H64" s="423"/>
      <c r="I64" s="423"/>
      <c r="J64" s="423"/>
    </row>
    <row r="65" spans="1:11" x14ac:dyDescent="0.2">
      <c r="B65" s="423"/>
      <c r="C65" s="423"/>
      <c r="D65" s="423"/>
      <c r="E65" s="423"/>
      <c r="F65" s="423"/>
      <c r="G65" s="423"/>
      <c r="H65" s="423"/>
      <c r="I65" s="423"/>
      <c r="J65" s="423"/>
    </row>
    <row r="66" spans="1:11" x14ac:dyDescent="0.2">
      <c r="B66" s="423"/>
      <c r="C66" s="423"/>
      <c r="D66" s="423"/>
      <c r="E66" s="423"/>
      <c r="F66" s="423"/>
      <c r="G66" s="423"/>
      <c r="H66" s="423"/>
      <c r="I66" s="423"/>
      <c r="J66" s="423"/>
    </row>
    <row r="67" spans="1:11" x14ac:dyDescent="0.2">
      <c r="B67" s="423"/>
      <c r="C67" s="423"/>
      <c r="D67" s="423"/>
      <c r="E67" s="423"/>
      <c r="F67" s="423"/>
      <c r="G67" s="423"/>
      <c r="H67" s="423"/>
      <c r="I67" s="423"/>
      <c r="J67" s="423"/>
    </row>
    <row r="68" spans="1:11" x14ac:dyDescent="0.2">
      <c r="B68" s="423"/>
      <c r="C68" s="423"/>
      <c r="D68" s="423"/>
      <c r="E68" s="423"/>
      <c r="F68" s="423"/>
      <c r="G68" s="423"/>
      <c r="H68" s="423"/>
      <c r="I68" s="423"/>
      <c r="J68" s="423"/>
    </row>
    <row r="69" spans="1:11" x14ac:dyDescent="0.2">
      <c r="B69" s="423"/>
      <c r="C69" s="423"/>
      <c r="D69" s="423"/>
      <c r="E69" s="423"/>
      <c r="F69" s="423"/>
      <c r="G69" s="423"/>
      <c r="H69" s="423"/>
      <c r="I69" s="423"/>
      <c r="J69" s="423"/>
    </row>
    <row r="70" spans="1:11" x14ac:dyDescent="0.2">
      <c r="B70" s="423"/>
      <c r="C70" s="423"/>
      <c r="D70" s="423"/>
      <c r="E70" s="423"/>
      <c r="F70" s="423"/>
      <c r="G70" s="423"/>
      <c r="H70" s="423"/>
      <c r="I70" s="423"/>
      <c r="J70" s="423"/>
    </row>
    <row r="71" spans="1:11" x14ac:dyDescent="0.2">
      <c r="B71" s="423"/>
      <c r="C71" s="423"/>
      <c r="D71" s="423"/>
      <c r="E71" s="423"/>
      <c r="F71" s="423"/>
      <c r="G71" s="423"/>
      <c r="H71" s="423"/>
      <c r="I71" s="423"/>
      <c r="J71" s="423"/>
    </row>
    <row r="72" spans="1:11" s="425" customFormat="1" ht="11.25" x14ac:dyDescent="0.2">
      <c r="B72" s="968" t="s">
        <v>84</v>
      </c>
      <c r="C72" s="968" t="s">
        <v>85</v>
      </c>
      <c r="D72" s="968" t="s">
        <v>67</v>
      </c>
      <c r="E72" s="968" t="s">
        <v>68</v>
      </c>
      <c r="F72" s="968" t="s">
        <v>69</v>
      </c>
      <c r="G72" s="968" t="s">
        <v>70</v>
      </c>
      <c r="H72" s="968" t="s">
        <v>222</v>
      </c>
      <c r="I72" s="1001" t="s">
        <v>223</v>
      </c>
      <c r="J72" s="1002"/>
      <c r="K72" s="424"/>
    </row>
    <row r="73" spans="1:11" s="425" customFormat="1" ht="11.25" x14ac:dyDescent="0.2">
      <c r="B73" s="969"/>
      <c r="C73" s="969"/>
      <c r="D73" s="969"/>
      <c r="E73" s="969"/>
      <c r="F73" s="969"/>
      <c r="G73" s="969"/>
      <c r="H73" s="969"/>
      <c r="I73" s="1003"/>
      <c r="J73" s="1004"/>
      <c r="K73" s="424"/>
    </row>
    <row r="74" spans="1:11" s="425" customFormat="1" ht="11.25" x14ac:dyDescent="0.2">
      <c r="B74" s="970"/>
      <c r="C74" s="970"/>
      <c r="D74" s="970"/>
      <c r="E74" s="970"/>
      <c r="F74" s="970"/>
      <c r="G74" s="970"/>
      <c r="H74" s="970"/>
      <c r="I74" s="426" t="s">
        <v>73</v>
      </c>
      <c r="J74" s="427" t="s">
        <v>86</v>
      </c>
      <c r="K74" s="424"/>
    </row>
    <row r="75" spans="1:11" x14ac:dyDescent="0.2">
      <c r="B75" s="435">
        <v>1</v>
      </c>
      <c r="C75" s="436">
        <v>2</v>
      </c>
      <c r="D75" s="436">
        <v>3</v>
      </c>
      <c r="E75" s="436">
        <v>4</v>
      </c>
      <c r="F75" s="436">
        <v>5</v>
      </c>
      <c r="G75" s="436">
        <v>6</v>
      </c>
      <c r="H75" s="436">
        <v>7</v>
      </c>
      <c r="I75" s="436">
        <v>8</v>
      </c>
      <c r="J75" s="436">
        <v>9</v>
      </c>
      <c r="K75" s="437"/>
    </row>
    <row r="76" spans="1:11" x14ac:dyDescent="0.2">
      <c r="B76" s="428" t="s">
        <v>155</v>
      </c>
      <c r="C76" s="423"/>
      <c r="D76" s="423"/>
      <c r="E76" s="423"/>
      <c r="F76" s="423"/>
      <c r="G76" s="423"/>
      <c r="H76" s="423"/>
      <c r="I76" s="423"/>
      <c r="J76" s="429"/>
      <c r="K76" s="437"/>
    </row>
    <row r="77" spans="1:11" x14ac:dyDescent="0.2">
      <c r="B77" s="430" t="s">
        <v>199</v>
      </c>
      <c r="C77" s="423">
        <f>SUM('SAV+VALST+NEVALST'!C77, NVŠĮB!C72)</f>
        <v>8</v>
      </c>
      <c r="D77" s="423">
        <f>SUM('SAV+VALST+NEVALST'!D77, NVŠĮB!D72)</f>
        <v>92842</v>
      </c>
      <c r="E77" s="423">
        <f>SUM('SAV+VALST+NEVALST'!E77, NVŠĮB!E72)</f>
        <v>2153</v>
      </c>
      <c r="F77" s="423">
        <f>SUM('SAV+VALST+NEVALST'!F77, NVŠĮB!F72)</f>
        <v>12802</v>
      </c>
      <c r="G77" s="423">
        <f>SUM('SAV+VALST+NEVALST'!G77, NVŠĮB!G72)</f>
        <v>25677</v>
      </c>
      <c r="H77" s="423">
        <f>SUM('SAV+VALST+NEVALST'!H77, NVŠĮB!H72)</f>
        <v>9</v>
      </c>
      <c r="I77" s="423">
        <f>SUM('SAV+VALST+NEVALST'!I77, NVŠĮB!I72)</f>
        <v>7</v>
      </c>
      <c r="J77" s="431">
        <f>SUM('SAV+VALST+NEVALST'!J77, NVŠĮB!J72)</f>
        <v>7</v>
      </c>
      <c r="K77" s="437"/>
    </row>
    <row r="78" spans="1:11" x14ac:dyDescent="0.2">
      <c r="B78" s="547" t="s">
        <v>200</v>
      </c>
      <c r="C78" s="548">
        <f>SUM('SAV+VALST+NEVALST'!C78, NVŠĮB!C73)</f>
        <v>7</v>
      </c>
      <c r="D78" s="548">
        <f>SUM('SAV+VALST+NEVALST'!D78, NVŠĮB!D73)</f>
        <v>83940</v>
      </c>
      <c r="E78" s="548">
        <f>SUM('SAV+VALST+NEVALST'!E78, NVŠĮB!E73)</f>
        <v>1874</v>
      </c>
      <c r="F78" s="548">
        <f>SUM('SAV+VALST+NEVALST'!F78, NVŠĮB!F73)</f>
        <v>10975</v>
      </c>
      <c r="G78" s="423">
        <f>SUM('SAV+VALST+NEVALST'!G78, NVŠĮB!G73)</f>
        <v>9637</v>
      </c>
      <c r="H78" s="423">
        <f>SUM('SAV+VALST+NEVALST'!H78, NVŠĮB!H73)</f>
        <v>8</v>
      </c>
      <c r="I78" s="423">
        <f>SUM('SAV+VALST+NEVALST'!I78, NVŠĮB!I73)</f>
        <v>7</v>
      </c>
      <c r="J78" s="431">
        <f>SUM('SAV+VALST+NEVALST'!J78, NVŠĮB!J73)</f>
        <v>7</v>
      </c>
      <c r="K78" s="437"/>
    </row>
    <row r="79" spans="1:11" x14ac:dyDescent="0.2">
      <c r="B79" s="547" t="s">
        <v>201</v>
      </c>
      <c r="C79" s="548">
        <f>SUM('SAV+VALST+NEVALST'!C79, NVŠĮB!C74)</f>
        <v>9</v>
      </c>
      <c r="D79" s="548">
        <f>SUM('SAV+VALST+NEVALST'!D79, NVŠĮB!D74)</f>
        <v>96850</v>
      </c>
      <c r="E79" s="548">
        <f>SUM('SAV+VALST+NEVALST'!E79, NVŠĮB!E74)</f>
        <v>1994</v>
      </c>
      <c r="F79" s="548">
        <f>SUM('SAV+VALST+NEVALST'!F79, NVŠĮB!F74)</f>
        <v>15953</v>
      </c>
      <c r="G79" s="423">
        <f>SUM('SAV+VALST+NEVALST'!G79, NVŠĮB!G74)</f>
        <v>26040</v>
      </c>
      <c r="H79" s="423">
        <f>SUM('SAV+VALST+NEVALST'!H79, NVŠĮB!H74)</f>
        <v>12</v>
      </c>
      <c r="I79" s="423">
        <f>SUM('SAV+VALST+NEVALST'!I79, NVŠĮB!I74)</f>
        <v>9</v>
      </c>
      <c r="J79" s="431">
        <f>SUM('SAV+VALST+NEVALST'!J79, NVŠĮB!J74)</f>
        <v>9</v>
      </c>
      <c r="K79" s="437"/>
    </row>
    <row r="80" spans="1:11" x14ac:dyDescent="0.2">
      <c r="A80" s="423"/>
      <c r="B80" s="547" t="s">
        <v>202</v>
      </c>
      <c r="C80" s="548">
        <f>SUM('SAV+VALST+NEVALST'!C80, NVŠĮB!C75, PŠCB!C20)</f>
        <v>9</v>
      </c>
      <c r="D80" s="548">
        <f>SUM('SAV+VALST+NEVALST'!D80, NVŠĮB!D75, PŠCB!D20)</f>
        <v>75791</v>
      </c>
      <c r="E80" s="548">
        <f>SUM('SAV+VALST+NEVALST'!E80, NVŠĮB!E75, PŠCB!E20)</f>
        <v>1402</v>
      </c>
      <c r="F80" s="548">
        <f>SUM('SAV+VALST+NEVALST'!F80, NVŠĮB!F75, PŠCB!F20)</f>
        <v>13766</v>
      </c>
      <c r="G80" s="423">
        <f>SUM('SAV+VALST+NEVALST'!G80, NVŠĮB!G75, PŠCB!G20)</f>
        <v>28315</v>
      </c>
      <c r="H80" s="423">
        <f>SUM('SAV+VALST+NEVALST'!H80, NVŠĮB!H75, PŠCB!H20)</f>
        <v>8</v>
      </c>
      <c r="I80" s="423">
        <f>SUM('SAV+VALST+NEVALST'!I80, NVŠĮB!I75, PŠCB!I20)</f>
        <v>9</v>
      </c>
      <c r="J80" s="431">
        <f>SUM('SAV+VALST+NEVALST'!J80, NVŠĮB!J75, PŠCB!J20)</f>
        <v>9</v>
      </c>
      <c r="K80" s="437"/>
    </row>
    <row r="81" spans="1:11" x14ac:dyDescent="0.2">
      <c r="A81" s="423"/>
      <c r="B81" s="547" t="s">
        <v>203</v>
      </c>
      <c r="C81" s="548">
        <f>SUM('SAV+VALST+NEVALST'!C81, NVŠĮB!C76)</f>
        <v>12</v>
      </c>
      <c r="D81" s="548">
        <f>SUM('SAV+VALST+NEVALST'!D81, NVŠĮB!D76)</f>
        <v>120171</v>
      </c>
      <c r="E81" s="548">
        <f>SUM('SAV+VALST+NEVALST'!E81, NVŠĮB!E76)</f>
        <v>3775</v>
      </c>
      <c r="F81" s="548">
        <f>SUM('SAV+VALST+NEVALST'!F81, NVŠĮB!F76)</f>
        <v>44708</v>
      </c>
      <c r="G81" s="423">
        <f>SUM('SAV+VALST+NEVALST'!G81, NVŠĮB!G76)</f>
        <v>78784</v>
      </c>
      <c r="H81" s="423">
        <f>SUM('SAV+VALST+NEVALST'!H81, NVŠĮB!H76)</f>
        <v>14</v>
      </c>
      <c r="I81" s="423">
        <f>SUM('SAV+VALST+NEVALST'!I81, NVŠĮB!I76)</f>
        <v>12</v>
      </c>
      <c r="J81" s="431">
        <f>SUM('SAV+VALST+NEVALST'!J81, NVŠĮB!J76)</f>
        <v>12</v>
      </c>
      <c r="K81" s="437"/>
    </row>
    <row r="82" spans="1:11" x14ac:dyDescent="0.2">
      <c r="B82" s="547" t="s">
        <v>104</v>
      </c>
      <c r="C82" s="548">
        <f>SUM('SAV+VALST+NEVALST'!C82, NVŠĮB!C77, PŠCB!C21)</f>
        <v>34</v>
      </c>
      <c r="D82" s="548">
        <f>SUM('SAV+VALST+NEVALST'!D82, NVŠĮB!D77, PŠCB!D21)</f>
        <v>312773</v>
      </c>
      <c r="E82" s="548">
        <f>SUM('SAV+VALST+NEVALST'!E82, NVŠĮB!E77, PŠCB!E21)</f>
        <v>14985</v>
      </c>
      <c r="F82" s="548">
        <f>SUM('SAV+VALST+NEVALST'!F82, NVŠĮB!F77, PŠCB!F21)</f>
        <v>131403</v>
      </c>
      <c r="G82" s="423">
        <f>SUM('SAV+VALST+NEVALST'!G82, NVŠĮB!G77, PŠCB!G21)</f>
        <v>131323</v>
      </c>
      <c r="H82" s="423">
        <f>SUM('SAV+VALST+NEVALST'!H82, NVŠĮB!H77, PŠCB!H21)</f>
        <v>40</v>
      </c>
      <c r="I82" s="423">
        <f>SUM('SAV+VALST+NEVALST'!I82, NVŠĮB!I77, PŠCB!I21)</f>
        <v>33</v>
      </c>
      <c r="J82" s="431">
        <f>SUM('SAV+VALST+NEVALST'!J82, NVŠĮB!J77, PŠCB!J21)</f>
        <v>33</v>
      </c>
      <c r="K82" s="437"/>
    </row>
    <row r="83" spans="1:11" x14ac:dyDescent="0.2">
      <c r="B83" s="547" t="s">
        <v>204</v>
      </c>
      <c r="C83" s="548">
        <f>SUM('SAV+VALST+NEVALST'!C83, NVŠĮB!C78)</f>
        <v>11</v>
      </c>
      <c r="D83" s="548">
        <f>SUM('SAV+VALST+NEVALST'!D83, NVŠĮB!D78)</f>
        <v>66209</v>
      </c>
      <c r="E83" s="548">
        <f>SUM('SAV+VALST+NEVALST'!E83, NVŠĮB!E78)</f>
        <v>3120</v>
      </c>
      <c r="F83" s="548">
        <f>SUM('SAV+VALST+NEVALST'!F83, NVŠĮB!F78)</f>
        <v>14674</v>
      </c>
      <c r="G83" s="548">
        <f>SUM('SAV+VALST+NEVALST'!G83, NVŠĮB!G78)</f>
        <v>10021</v>
      </c>
      <c r="H83" s="548">
        <f>SUM('SAV+VALST+NEVALST'!H83, NVŠĮB!H78)</f>
        <v>14</v>
      </c>
      <c r="I83" s="548">
        <f>SUM('SAV+VALST+NEVALST'!I83, NVŠĮB!I78)</f>
        <v>11</v>
      </c>
      <c r="J83" s="548">
        <f>SUM('SAV+VALST+NEVALST'!J83, NVŠĮB!J78)</f>
        <v>11</v>
      </c>
      <c r="K83" s="437"/>
    </row>
    <row r="84" spans="1:11" ht="15" customHeight="1" x14ac:dyDescent="0.2">
      <c r="B84" s="434" t="s">
        <v>22</v>
      </c>
      <c r="C84" s="434">
        <f>SUM(C77:C83)</f>
        <v>90</v>
      </c>
      <c r="D84" s="434">
        <f t="shared" ref="D84:J84" si="5">SUM(D77:D83)</f>
        <v>848576</v>
      </c>
      <c r="E84" s="434">
        <f t="shared" si="5"/>
        <v>29303</v>
      </c>
      <c r="F84" s="434">
        <f t="shared" si="5"/>
        <v>244281</v>
      </c>
      <c r="G84" s="434">
        <f t="shared" si="5"/>
        <v>309797</v>
      </c>
      <c r="H84" s="434">
        <f t="shared" si="5"/>
        <v>105</v>
      </c>
      <c r="I84" s="434">
        <f t="shared" si="5"/>
        <v>88</v>
      </c>
      <c r="J84" s="434">
        <f t="shared" si="5"/>
        <v>88</v>
      </c>
      <c r="K84" s="437"/>
    </row>
    <row r="85" spans="1:11" x14ac:dyDescent="0.2">
      <c r="B85" s="428" t="s">
        <v>156</v>
      </c>
      <c r="C85" s="423"/>
      <c r="D85" s="423"/>
      <c r="E85" s="423"/>
      <c r="F85" s="423"/>
      <c r="G85" s="423"/>
      <c r="H85" s="423"/>
      <c r="I85" s="423"/>
      <c r="J85" s="429"/>
    </row>
    <row r="86" spans="1:11" x14ac:dyDescent="0.2">
      <c r="B86" s="430" t="s">
        <v>205</v>
      </c>
      <c r="C86" s="423">
        <f>SUM('SAV+VALST+NEVALST'!C86, NVŠĮB!C81)</f>
        <v>13</v>
      </c>
      <c r="D86" s="423">
        <f>SUM('SAV+VALST+NEVALST'!D86, NVŠĮB!D81)</f>
        <v>113037</v>
      </c>
      <c r="E86" s="423">
        <f>SUM('SAV+VALST+NEVALST'!E86, NVŠĮB!E81)</f>
        <v>2514</v>
      </c>
      <c r="F86" s="423">
        <f>SUM('SAV+VALST+NEVALST'!F86, NVŠĮB!F81)</f>
        <v>24122</v>
      </c>
      <c r="G86" s="423">
        <f>SUM('SAV+VALST+NEVALST'!G86, NVŠĮB!G81)</f>
        <v>58410</v>
      </c>
      <c r="H86" s="423">
        <f>SUM('SAV+VALST+NEVALST'!H86, NVŠĮB!H81)</f>
        <v>13</v>
      </c>
      <c r="I86" s="423">
        <f>SUM('SAV+VALST+NEVALST'!I86, NVŠĮB!I81)</f>
        <v>10</v>
      </c>
      <c r="J86" s="431">
        <f>SUM('SAV+VALST+NEVALST'!J86, NVŠĮB!J81)</f>
        <v>10</v>
      </c>
    </row>
    <row r="87" spans="1:11" x14ac:dyDescent="0.2">
      <c r="B87" s="430" t="s">
        <v>106</v>
      </c>
      <c r="C87" s="423">
        <f>SUM('SAV+VALST+NEVALST'!C87, NVŠĮB!C82)</f>
        <v>2</v>
      </c>
      <c r="D87" s="423">
        <f>SUM('SAV+VALST+NEVALST'!D87, NVŠĮB!D82)</f>
        <v>20372</v>
      </c>
      <c r="E87" s="423">
        <f>SUM('SAV+VALST+NEVALST'!E87, NVŠĮB!E82)</f>
        <v>833</v>
      </c>
      <c r="F87" s="423">
        <f>SUM('SAV+VALST+NEVALST'!F87, NVŠĮB!F82)</f>
        <v>8694</v>
      </c>
      <c r="G87" s="423">
        <f>SUM('SAV+VALST+NEVALST'!G87, NVŠĮB!G82)</f>
        <v>12155</v>
      </c>
      <c r="H87" s="423">
        <f>SUM('SAV+VALST+NEVALST'!H87, NVŠĮB!H82)</f>
        <v>2</v>
      </c>
      <c r="I87" s="423">
        <f>SUM('SAV+VALST+NEVALST'!I87, NVŠĮB!I82)</f>
        <v>2</v>
      </c>
      <c r="J87" s="431">
        <f>SUM('SAV+VALST+NEVALST'!J87, NVŠĮB!J82)</f>
        <v>2</v>
      </c>
    </row>
    <row r="88" spans="1:11" x14ac:dyDescent="0.2">
      <c r="B88" s="430" t="s">
        <v>206</v>
      </c>
      <c r="C88" s="423">
        <f>SUM('SAV+VALST+NEVALST'!C88, NVŠĮB!C83)</f>
        <v>8</v>
      </c>
      <c r="D88" s="423">
        <f>SUM('SAV+VALST+NEVALST'!D88, NVŠĮB!D83)</f>
        <v>103009</v>
      </c>
      <c r="E88" s="423">
        <f>SUM('SAV+VALST+NEVALST'!E88, NVŠĮB!E83)</f>
        <v>2559</v>
      </c>
      <c r="F88" s="423">
        <f>SUM('SAV+VALST+NEVALST'!F88, NVŠĮB!F83)</f>
        <v>69842</v>
      </c>
      <c r="G88" s="423">
        <f>SUM('SAV+VALST+NEVALST'!G88, NVŠĮB!G83)</f>
        <v>71750</v>
      </c>
      <c r="H88" s="423">
        <f>SUM('SAV+VALST+NEVALST'!H88, NVŠĮB!H83)</f>
        <v>7</v>
      </c>
      <c r="I88" s="423">
        <f>SUM('SAV+VALST+NEVALST'!I88, NVŠĮB!I83)</f>
        <v>7</v>
      </c>
      <c r="J88" s="431">
        <f>SUM('SAV+VALST+NEVALST'!J88, NVŠĮB!J83)</f>
        <v>7</v>
      </c>
    </row>
    <row r="89" spans="1:11" x14ac:dyDescent="0.2">
      <c r="B89" s="430" t="s">
        <v>207</v>
      </c>
      <c r="C89" s="541">
        <f>SUM('SAV+VALST+NEVALST'!C89, NVŠĮB!C84)</f>
        <v>10</v>
      </c>
      <c r="D89" s="541">
        <f>SUM('SAV+VALST+NEVALST'!D89, NVŠĮB!D84)</f>
        <v>148521</v>
      </c>
      <c r="E89" s="541">
        <f>SUM('SAV+VALST+NEVALST'!E89, NVŠĮB!E84)</f>
        <v>3693</v>
      </c>
      <c r="F89" s="541">
        <f>SUM('SAV+VALST+NEVALST'!F89, NVŠĮB!F84)</f>
        <v>17615</v>
      </c>
      <c r="G89" s="541">
        <f>SUM('SAV+VALST+NEVALST'!G89, NVŠĮB!G84)</f>
        <v>16341</v>
      </c>
      <c r="H89" s="541">
        <f>SUM('SAV+VALST+NEVALST'!H89, NVŠĮB!H84)</f>
        <v>9</v>
      </c>
      <c r="I89" s="541">
        <f>SUM('SAV+VALST+NEVALST'!I89, NVŠĮB!I84)</f>
        <v>10</v>
      </c>
      <c r="J89" s="433">
        <f>SUM('SAV+VALST+NEVALST'!J89, NVŠĮB!J84)</f>
        <v>10</v>
      </c>
    </row>
    <row r="90" spans="1:11" ht="14.25" customHeight="1" x14ac:dyDescent="0.2">
      <c r="B90" s="434" t="s">
        <v>22</v>
      </c>
      <c r="C90" s="434">
        <f>SUM(C86:C89)</f>
        <v>33</v>
      </c>
      <c r="D90" s="434">
        <f t="shared" ref="D90:J90" si="6">SUM(D86:D89)</f>
        <v>384939</v>
      </c>
      <c r="E90" s="434">
        <f t="shared" si="6"/>
        <v>9599</v>
      </c>
      <c r="F90" s="434">
        <f t="shared" si="6"/>
        <v>120273</v>
      </c>
      <c r="G90" s="434">
        <f t="shared" si="6"/>
        <v>158656</v>
      </c>
      <c r="H90" s="434">
        <f t="shared" si="6"/>
        <v>31</v>
      </c>
      <c r="I90" s="434">
        <f t="shared" si="6"/>
        <v>29</v>
      </c>
      <c r="J90" s="434">
        <f t="shared" si="6"/>
        <v>29</v>
      </c>
    </row>
    <row r="91" spans="1:11" x14ac:dyDescent="0.2">
      <c r="B91" s="428" t="s">
        <v>157</v>
      </c>
      <c r="C91" s="423"/>
      <c r="D91" s="423"/>
      <c r="E91" s="423"/>
      <c r="F91" s="423"/>
      <c r="G91" s="423"/>
      <c r="H91" s="423"/>
      <c r="I91" s="423"/>
      <c r="J91" s="429"/>
    </row>
    <row r="92" spans="1:11" x14ac:dyDescent="0.2">
      <c r="B92" s="430" t="s">
        <v>208</v>
      </c>
      <c r="C92" s="423">
        <f>SUM('SAV+VALST+NEVALST'!C92, NVŠĮB!C87)</f>
        <v>18</v>
      </c>
      <c r="D92" s="423">
        <f>SUM('SAV+VALST+NEVALST'!D92, NVŠĮB!D87)</f>
        <v>141234</v>
      </c>
      <c r="E92" s="423">
        <f>SUM('SAV+VALST+NEVALST'!E92, NVŠĮB!E87)</f>
        <v>5846</v>
      </c>
      <c r="F92" s="423">
        <f>SUM('SAV+VALST+NEVALST'!F92, NVŠĮB!F87)</f>
        <v>74744</v>
      </c>
      <c r="G92" s="423">
        <f>SUM('SAV+VALST+NEVALST'!G92, NVŠĮB!G87)</f>
        <v>69153</v>
      </c>
      <c r="H92" s="423">
        <f>SUM('SAV+VALST+NEVALST'!H92, NVŠĮB!H87)</f>
        <v>27</v>
      </c>
      <c r="I92" s="423">
        <f>SUM('SAV+VALST+NEVALST'!I92, NVŠĮB!I87)</f>
        <v>18</v>
      </c>
      <c r="J92" s="431">
        <f>SUM('SAV+VALST+NEVALST'!J92, NVŠĮB!J87)</f>
        <v>18</v>
      </c>
    </row>
    <row r="93" spans="1:11" x14ac:dyDescent="0.2">
      <c r="B93" s="430" t="s">
        <v>209</v>
      </c>
      <c r="C93" s="423">
        <f>SUM('SAV+VALST+NEVALST'!C93, NVŠĮB!C88)</f>
        <v>12</v>
      </c>
      <c r="D93" s="423">
        <f>SUM('SAV+VALST+NEVALST'!D93, NVŠĮB!D88)</f>
        <v>138079</v>
      </c>
      <c r="E93" s="423">
        <f>SUM('SAV+VALST+NEVALST'!E93, NVŠĮB!E88)</f>
        <v>4633</v>
      </c>
      <c r="F93" s="423">
        <f>SUM('SAV+VALST+NEVALST'!F93, NVŠĮB!F88)</f>
        <v>25821</v>
      </c>
      <c r="G93" s="423">
        <f>SUM('SAV+VALST+NEVALST'!G93, NVŠĮB!G88)</f>
        <v>45105</v>
      </c>
      <c r="H93" s="423">
        <f>SUM('SAV+VALST+NEVALST'!H93, NVŠĮB!H88)</f>
        <v>18</v>
      </c>
      <c r="I93" s="423">
        <f>SUM('SAV+VALST+NEVALST'!I93, NVŠĮB!I88)</f>
        <v>11</v>
      </c>
      <c r="J93" s="431">
        <f>SUM('SAV+VALST+NEVALST'!J93, NVŠĮB!J88)</f>
        <v>11</v>
      </c>
    </row>
    <row r="94" spans="1:11" x14ac:dyDescent="0.2">
      <c r="B94" s="430" t="s">
        <v>108</v>
      </c>
      <c r="C94" s="423">
        <f>SUM('SAV+VALST+NEVALST'!C94, NVŠĮB!C89)</f>
        <v>3</v>
      </c>
      <c r="D94" s="423">
        <f>SUM('SAV+VALST+NEVALST'!D94, NVŠĮB!D89)</f>
        <v>37073</v>
      </c>
      <c r="E94" s="423">
        <f>SUM('SAV+VALST+NEVALST'!E94, NVŠĮB!E89)</f>
        <v>669</v>
      </c>
      <c r="F94" s="423">
        <f>SUM('SAV+VALST+NEVALST'!F94, NVŠĮB!F89)</f>
        <v>3388</v>
      </c>
      <c r="G94" s="423">
        <f>SUM('SAV+VALST+NEVALST'!G94, NVŠĮB!G89)</f>
        <v>3266</v>
      </c>
      <c r="H94" s="423">
        <f>SUM('SAV+VALST+NEVALST'!H94, NVŠĮB!H89)</f>
        <v>4</v>
      </c>
      <c r="I94" s="423">
        <f>SUM('SAV+VALST+NEVALST'!I94, NVŠĮB!I89)</f>
        <v>2</v>
      </c>
      <c r="J94" s="431">
        <f>SUM('SAV+VALST+NEVALST'!J94, NVŠĮB!J89)</f>
        <v>2</v>
      </c>
    </row>
    <row r="95" spans="1:11" x14ac:dyDescent="0.2">
      <c r="B95" s="430" t="s">
        <v>210</v>
      </c>
      <c r="C95" s="541">
        <f>SUM('SAV+VALST+NEVALST'!C95, NVŠĮB!C90)</f>
        <v>13</v>
      </c>
      <c r="D95" s="541">
        <f>SUM('SAV+VALST+NEVALST'!D95, NVŠĮB!D90)</f>
        <v>137032</v>
      </c>
      <c r="E95" s="541">
        <f>SUM('SAV+VALST+NEVALST'!E95, NVŠĮB!E90)</f>
        <v>4084</v>
      </c>
      <c r="F95" s="541">
        <f>SUM('SAV+VALST+NEVALST'!F95, NVŠĮB!F90)</f>
        <v>35577</v>
      </c>
      <c r="G95" s="541">
        <f>SUM('SAV+VALST+NEVALST'!G95, NVŠĮB!G90)</f>
        <v>45521</v>
      </c>
      <c r="H95" s="541">
        <f>SUM('SAV+VALST+NEVALST'!H95, NVŠĮB!H90)</f>
        <v>14</v>
      </c>
      <c r="I95" s="541">
        <f>SUM('SAV+VALST+NEVALST'!I95, NVŠĮB!I90)</f>
        <v>12</v>
      </c>
      <c r="J95" s="433">
        <f>SUM('SAV+VALST+NEVALST'!J95, NVŠĮB!J90)</f>
        <v>12</v>
      </c>
    </row>
    <row r="96" spans="1:11" ht="15.75" customHeight="1" x14ac:dyDescent="0.2">
      <c r="B96" s="434" t="s">
        <v>22</v>
      </c>
      <c r="C96" s="434">
        <f>SUM(C92:C95)</f>
        <v>46</v>
      </c>
      <c r="D96" s="434">
        <f t="shared" ref="D96:J96" si="7">SUM(D92:D95)</f>
        <v>453418</v>
      </c>
      <c r="E96" s="434">
        <f t="shared" si="7"/>
        <v>15232</v>
      </c>
      <c r="F96" s="434">
        <f t="shared" si="7"/>
        <v>139530</v>
      </c>
      <c r="G96" s="434">
        <f t="shared" si="7"/>
        <v>163045</v>
      </c>
      <c r="H96" s="434">
        <f t="shared" si="7"/>
        <v>63</v>
      </c>
      <c r="I96" s="434">
        <f t="shared" si="7"/>
        <v>43</v>
      </c>
      <c r="J96" s="434">
        <f t="shared" si="7"/>
        <v>43</v>
      </c>
    </row>
    <row r="97" spans="2:10" x14ac:dyDescent="0.2">
      <c r="B97" s="428" t="s">
        <v>158</v>
      </c>
      <c r="C97" s="423"/>
      <c r="D97" s="423"/>
      <c r="E97" s="423"/>
      <c r="F97" s="423"/>
      <c r="G97" s="423"/>
      <c r="H97" s="423"/>
      <c r="I97" s="423"/>
      <c r="J97" s="429"/>
    </row>
    <row r="98" spans="2:10" x14ac:dyDescent="0.2">
      <c r="B98" s="547" t="s">
        <v>211</v>
      </c>
      <c r="C98" s="548">
        <f>SUM('SAV+VALST+NEVALST'!C98, NVŠĮB!C93)</f>
        <v>7</v>
      </c>
      <c r="D98" s="548">
        <f>SUM('SAV+VALST+NEVALST'!D98, NVŠĮB!D93)</f>
        <v>77651</v>
      </c>
      <c r="E98" s="548">
        <f>SUM('SAV+VALST+NEVALST'!E98, NVŠĮB!E93)</f>
        <v>2021</v>
      </c>
      <c r="F98" s="423">
        <f>SUM('SAV+VALST+NEVALST'!F98, NVŠĮB!F93)</f>
        <v>16661</v>
      </c>
      <c r="G98" s="423">
        <f>SUM('SAV+VALST+NEVALST'!G98, NVŠĮB!G93)</f>
        <v>21944</v>
      </c>
      <c r="H98" s="423">
        <f>SUM('SAV+VALST+NEVALST'!H98, NVŠĮB!H93)</f>
        <v>8</v>
      </c>
      <c r="I98" s="423">
        <f>SUM('SAV+VALST+NEVALST'!I98, NVŠĮB!I93)</f>
        <v>6</v>
      </c>
      <c r="J98" s="431">
        <f>SUM('SAV+VALST+NEVALST'!J98, NVŠĮB!J93)</f>
        <v>6</v>
      </c>
    </row>
    <row r="99" spans="2:10" x14ac:dyDescent="0.2">
      <c r="B99" s="547" t="s">
        <v>212</v>
      </c>
      <c r="C99" s="548">
        <f>SUM('SAV+VALST+NEVALST'!C99, ŠPTB!C21)</f>
        <v>4</v>
      </c>
      <c r="D99" s="548">
        <f>SUM('SAV+VALST+NEVALST'!D99, ŠPTB!D21)</f>
        <v>47597</v>
      </c>
      <c r="E99" s="548">
        <f>SUM('SAV+VALST+NEVALST'!E99, ŠPTB!E21)</f>
        <v>1175</v>
      </c>
      <c r="F99" s="548">
        <f>SUM('SAV+VALST+NEVALST'!F99, ŠPTB!F21)</f>
        <v>10712</v>
      </c>
      <c r="G99" s="548">
        <f>SUM('SAV+VALST+NEVALST'!G99, ŠPTB!G21)</f>
        <v>14576</v>
      </c>
      <c r="H99" s="548">
        <f>SUM('SAV+VALST+NEVALST'!H99, ŠPTB!H21)</f>
        <v>7</v>
      </c>
      <c r="I99" s="548">
        <f>SUM('SAV+VALST+NEVALST'!I99, ŠPTB!I21)</f>
        <v>4</v>
      </c>
      <c r="J99" s="548">
        <f>SUM('SAV+VALST+NEVALST'!J99, ŠPTB!J21)</f>
        <v>4</v>
      </c>
    </row>
    <row r="100" spans="2:10" x14ac:dyDescent="0.2">
      <c r="B100" s="547" t="s">
        <v>213</v>
      </c>
      <c r="C100" s="548">
        <f>SUM('SAV+VALST+NEVALST'!C100, NVŠĮB!C95)</f>
        <v>4</v>
      </c>
      <c r="D100" s="548">
        <f>SUM('SAV+VALST+NEVALST'!D100, NVŠĮB!D95)</f>
        <v>43553</v>
      </c>
      <c r="E100" s="548">
        <f>SUM('SAV+VALST+NEVALST'!E100, NVŠĮB!E95)</f>
        <v>1199</v>
      </c>
      <c r="F100" s="423">
        <f>SUM('SAV+VALST+NEVALST'!F100, NVŠĮB!F95)</f>
        <v>13429</v>
      </c>
      <c r="G100" s="423">
        <f>SUM('SAV+VALST+NEVALST'!G100, NVŠĮB!G95)</f>
        <v>12682</v>
      </c>
      <c r="H100" s="423">
        <f>SUM('SAV+VALST+NEVALST'!H100, NVŠĮB!H95)</f>
        <v>4</v>
      </c>
      <c r="I100" s="423">
        <f>SUM('SAV+VALST+NEVALST'!I100, NVŠĮB!I95)</f>
        <v>4</v>
      </c>
      <c r="J100" s="431">
        <f>SUM('SAV+VALST+NEVALST'!J100, NVŠĮB!J95)</f>
        <v>4</v>
      </c>
    </row>
    <row r="101" spans="2:10" x14ac:dyDescent="0.2">
      <c r="B101" s="430" t="s">
        <v>214</v>
      </c>
      <c r="C101" s="423">
        <f>SUM('SAV+VALST+NEVALST'!C101, NVŠĮB!C96)</f>
        <v>6</v>
      </c>
      <c r="D101" s="423">
        <f>SUM('SAV+VALST+NEVALST'!D101, NVŠĮB!D96)</f>
        <v>35739</v>
      </c>
      <c r="E101" s="423">
        <f>SUM('SAV+VALST+NEVALST'!E101, NVŠĮB!E96)</f>
        <v>1862</v>
      </c>
      <c r="F101" s="423">
        <f>SUM('SAV+VALST+NEVALST'!F101, NVŠĮB!F96)</f>
        <v>25026</v>
      </c>
      <c r="G101" s="423">
        <f>SUM('SAV+VALST+NEVALST'!G101, NVŠĮB!G96)</f>
        <v>30066</v>
      </c>
      <c r="H101" s="423">
        <f>SUM('SAV+VALST+NEVALST'!H101, NVŠĮB!H96)</f>
        <v>8</v>
      </c>
      <c r="I101" s="423">
        <f>SUM('SAV+VALST+NEVALST'!I101, NVŠĮB!I96)</f>
        <v>6</v>
      </c>
      <c r="J101" s="431">
        <f>SUM('SAV+VALST+NEVALST'!J101, NVŠĮB!J96)</f>
        <v>6</v>
      </c>
    </row>
    <row r="102" spans="2:10" x14ac:dyDescent="0.2">
      <c r="B102" s="430" t="s">
        <v>110</v>
      </c>
      <c r="C102" s="423">
        <f>SUM('SAV+VALST+NEVALST'!C102, NVŠĮB!C97)</f>
        <v>5</v>
      </c>
      <c r="D102" s="423">
        <f>SUM('SAV+VALST+NEVALST'!D102, NVŠĮB!D97)</f>
        <v>48459</v>
      </c>
      <c r="E102" s="423">
        <f>SUM('SAV+VALST+NEVALST'!E102, NVŠĮB!E97)</f>
        <v>1741</v>
      </c>
      <c r="F102" s="423">
        <f>SUM('SAV+VALST+NEVALST'!F102, NVŠĮB!F97)</f>
        <v>19182</v>
      </c>
      <c r="G102" s="423">
        <f>SUM('SAV+VALST+NEVALST'!G102, NVŠĮB!G97)</f>
        <v>14872</v>
      </c>
      <c r="H102" s="423">
        <f>SUM('SAV+VALST+NEVALST'!H102, NVŠĮB!H97)</f>
        <v>5</v>
      </c>
      <c r="I102" s="423">
        <f>SUM('SAV+VALST+NEVALST'!I102, NVŠĮB!I97)</f>
        <v>5</v>
      </c>
      <c r="J102" s="431">
        <f>SUM('SAV+VALST+NEVALST'!J102, NVŠĮB!J97)</f>
        <v>5</v>
      </c>
    </row>
    <row r="103" spans="2:10" x14ac:dyDescent="0.2">
      <c r="B103" s="430" t="s">
        <v>215</v>
      </c>
      <c r="C103" s="541">
        <f>SUM('SAV+VALST+NEVALST'!C103, NVŠĮB!C98)</f>
        <v>5</v>
      </c>
      <c r="D103" s="541">
        <f>SUM('SAV+VALST+NEVALST'!D103, NVŠĮB!D98)</f>
        <v>57688</v>
      </c>
      <c r="E103" s="541">
        <f>SUM('SAV+VALST+NEVALST'!E103, NVŠĮB!E98)</f>
        <v>634</v>
      </c>
      <c r="F103" s="541">
        <f>SUM('SAV+VALST+NEVALST'!F103, NVŠĮB!F98)</f>
        <v>2908</v>
      </c>
      <c r="G103" s="541">
        <f>SUM('SAV+VALST+NEVALST'!G103, NVŠĮB!G98)</f>
        <v>3837</v>
      </c>
      <c r="H103" s="541">
        <f>SUM('SAV+VALST+NEVALST'!H103, NVŠĮB!H98)</f>
        <v>5</v>
      </c>
      <c r="I103" s="541">
        <f>SUM('SAV+VALST+NEVALST'!I103, NVŠĮB!I98)</f>
        <v>5</v>
      </c>
      <c r="J103" s="433">
        <f>SUM('SAV+VALST+NEVALST'!J103, NVŠĮB!J98)</f>
        <v>5</v>
      </c>
    </row>
    <row r="104" spans="2:10" ht="14.25" customHeight="1" x14ac:dyDescent="0.2">
      <c r="B104" s="434" t="s">
        <v>22</v>
      </c>
      <c r="C104" s="434">
        <f>SUM(C98:C103)</f>
        <v>31</v>
      </c>
      <c r="D104" s="434">
        <f t="shared" ref="D104:J104" si="8">SUM(D98:D103)</f>
        <v>310687</v>
      </c>
      <c r="E104" s="434">
        <f t="shared" si="8"/>
        <v>8632</v>
      </c>
      <c r="F104" s="434">
        <f t="shared" si="8"/>
        <v>87918</v>
      </c>
      <c r="G104" s="434">
        <f t="shared" si="8"/>
        <v>97977</v>
      </c>
      <c r="H104" s="434">
        <f t="shared" si="8"/>
        <v>37</v>
      </c>
      <c r="I104" s="434">
        <f t="shared" si="8"/>
        <v>30</v>
      </c>
      <c r="J104" s="434">
        <f t="shared" si="8"/>
        <v>30</v>
      </c>
    </row>
    <row r="105" spans="2:10" x14ac:dyDescent="0.2">
      <c r="B105" s="428" t="s">
        <v>159</v>
      </c>
      <c r="C105" s="423"/>
      <c r="D105" s="423"/>
      <c r="E105" s="423"/>
      <c r="F105" s="423"/>
      <c r="G105" s="423"/>
      <c r="H105" s="423"/>
      <c r="I105" s="423"/>
      <c r="J105" s="431"/>
    </row>
    <row r="106" spans="2:10" x14ac:dyDescent="0.2">
      <c r="B106" s="430" t="s">
        <v>112</v>
      </c>
      <c r="C106" s="423">
        <f>SUM('SAV+VALST+NEVALST'!C106, NVŠĮB!C101)</f>
        <v>9</v>
      </c>
      <c r="D106" s="423">
        <f>SUM('SAV+VALST+NEVALST'!D106, NVŠĮB!D101)</f>
        <v>82555</v>
      </c>
      <c r="E106" s="423">
        <f>SUM('SAV+VALST+NEVALST'!E106, NVŠĮB!E101)</f>
        <v>2276</v>
      </c>
      <c r="F106" s="423">
        <f>SUM('SAV+VALST+NEVALST'!F106, NVŠĮB!F101)</f>
        <v>16177</v>
      </c>
      <c r="G106" s="423">
        <f>SUM('SAV+VALST+NEVALST'!G106, NVŠĮB!G101)</f>
        <v>24309</v>
      </c>
      <c r="H106" s="423">
        <f>SUM('SAV+VALST+NEVALST'!H106, NVŠĮB!H101)</f>
        <v>15</v>
      </c>
      <c r="I106" s="423">
        <f>SUM('SAV+VALST+NEVALST'!I106, NVŠĮB!I101)</f>
        <v>8</v>
      </c>
      <c r="J106" s="431">
        <f>SUM('SAV+VALST+NEVALST'!J106, NVŠĮB!J101)</f>
        <v>8</v>
      </c>
    </row>
    <row r="107" spans="2:10" x14ac:dyDescent="0.2">
      <c r="B107" s="430" t="s">
        <v>216</v>
      </c>
      <c r="C107" s="423">
        <f>SUM('SAV+VALST+NEVALST'!C107, NVŠĮB!C102)</f>
        <v>21</v>
      </c>
      <c r="D107" s="423">
        <f>SUM('SAV+VALST+NEVALST'!D107, NVŠĮB!D102)</f>
        <v>115868</v>
      </c>
      <c r="E107" s="423">
        <f>SUM('SAV+VALST+NEVALST'!E107, NVŠĮB!E102)</f>
        <v>3844</v>
      </c>
      <c r="F107" s="423">
        <f>SUM('SAV+VALST+NEVALST'!F107, NVŠĮB!F102)</f>
        <v>51526</v>
      </c>
      <c r="G107" s="423">
        <f>SUM('SAV+VALST+NEVALST'!G107, NVŠĮB!G102)</f>
        <v>62887</v>
      </c>
      <c r="H107" s="423">
        <f>SUM('SAV+VALST+NEVALST'!H107, NVŠĮB!H102)</f>
        <v>19</v>
      </c>
      <c r="I107" s="423">
        <f>SUM('SAV+VALST+NEVALST'!I107, NVŠĮB!I102)</f>
        <v>19</v>
      </c>
      <c r="J107" s="431">
        <f>SUM('SAV+VALST+NEVALST'!J107, NVŠĮB!J102)</f>
        <v>19</v>
      </c>
    </row>
    <row r="108" spans="2:10" x14ac:dyDescent="0.2">
      <c r="B108" s="547" t="s">
        <v>217</v>
      </c>
      <c r="C108" s="548">
        <f>SUM('SAV+VALST+NEVALST'!C108, NVŠĮB!C103)</f>
        <v>6</v>
      </c>
      <c r="D108" s="548">
        <f>SUM('SAV+VALST+NEVALST'!D108, NVŠĮB!D103)</f>
        <v>40958</v>
      </c>
      <c r="E108" s="423">
        <f>SUM('SAV+VALST+NEVALST'!E108, NVŠĮB!E103)</f>
        <v>1721</v>
      </c>
      <c r="F108" s="423">
        <f>SUM('SAV+VALST+NEVALST'!F108, NVŠĮB!F103)</f>
        <v>27984</v>
      </c>
      <c r="G108" s="423">
        <f>SUM('SAV+VALST+NEVALST'!G108, NVŠĮB!G103)</f>
        <v>21565</v>
      </c>
      <c r="H108" s="423">
        <f>SUM('SAV+VALST+NEVALST'!H108, NVŠĮB!H103)</f>
        <v>4</v>
      </c>
      <c r="I108" s="423">
        <f>SUM('SAV+VALST+NEVALST'!I108, NVŠĮB!I103)</f>
        <v>6</v>
      </c>
      <c r="J108" s="431">
        <f>SUM('SAV+VALST+NEVALST'!J108, NVŠĮB!J103)</f>
        <v>6</v>
      </c>
    </row>
    <row r="109" spans="2:10" x14ac:dyDescent="0.2">
      <c r="B109" s="547" t="s">
        <v>218</v>
      </c>
      <c r="C109" s="548">
        <f>SUM('SAV+VALST+NEVALST'!C109, NVŠĮB!C104, ŠPTB!C23)</f>
        <v>7</v>
      </c>
      <c r="D109" s="548">
        <f>SUM('SAV+VALST+NEVALST'!D109, NVŠĮB!D104, ŠPTB!D23)</f>
        <v>88847</v>
      </c>
      <c r="E109" s="548">
        <f>SUM('SAV+VALST+NEVALST'!E109, NVŠĮB!E104, ŠPTB!E23)</f>
        <v>2243</v>
      </c>
      <c r="F109" s="548">
        <f>SUM('SAV+VALST+NEVALST'!F109, NVŠĮB!F104, ŠPTB!F23)</f>
        <v>21935</v>
      </c>
      <c r="G109" s="548">
        <f>SUM('SAV+VALST+NEVALST'!G109, NVŠĮB!G104, ŠPTB!G23)</f>
        <v>24152</v>
      </c>
      <c r="H109" s="548">
        <f>SUM('SAV+VALST+NEVALST'!H109, NVŠĮB!H104, ŠPTB!H23)</f>
        <v>8</v>
      </c>
      <c r="I109" s="548">
        <f>SUM('SAV+VALST+NEVALST'!I109, NVŠĮB!I104, ŠPTB!I23)</f>
        <v>4</v>
      </c>
      <c r="J109" s="548">
        <f>SUM('SAV+VALST+NEVALST'!J109, NVŠĮB!J104, ŠPTB!J23)</f>
        <v>4</v>
      </c>
    </row>
    <row r="110" spans="2:10" x14ac:dyDescent="0.2">
      <c r="B110" s="547" t="s">
        <v>219</v>
      </c>
      <c r="C110" s="548">
        <f>SUM('SAV+VALST+NEVALST'!C110, NVŠĮB!C105)</f>
        <v>16</v>
      </c>
      <c r="D110" s="548">
        <f>SUM('SAV+VALST+NEVALST'!D110, NVŠĮB!D105)</f>
        <v>132677</v>
      </c>
      <c r="E110" s="423">
        <f>SUM('SAV+VALST+NEVALST'!E110, NVŠĮB!E105)</f>
        <v>3233</v>
      </c>
      <c r="F110" s="423">
        <f>SUM('SAV+VALST+NEVALST'!F110, NVŠĮB!F105)</f>
        <v>25478</v>
      </c>
      <c r="G110" s="423">
        <f>SUM('SAV+VALST+NEVALST'!G110, NVŠĮB!G105)</f>
        <v>42854</v>
      </c>
      <c r="H110" s="423">
        <f>SUM('SAV+VALST+NEVALST'!H110, NVŠĮB!H105)</f>
        <v>20</v>
      </c>
      <c r="I110" s="423">
        <f>SUM('SAV+VALST+NEVALST'!I110, NVŠĮB!I105)</f>
        <v>14</v>
      </c>
      <c r="J110" s="431">
        <f>SUM('SAV+VALST+NEVALST'!J110, NVŠĮB!J105)</f>
        <v>14</v>
      </c>
    </row>
    <row r="111" spans="2:10" x14ac:dyDescent="0.2">
      <c r="B111" s="430" t="s">
        <v>220</v>
      </c>
      <c r="C111" s="423">
        <f>SUM('SAV+VALST+NEVALST'!C111, NVŠĮB!C106)</f>
        <v>12</v>
      </c>
      <c r="D111" s="423">
        <f>SUM('SAV+VALST+NEVALST'!D111, NVŠĮB!D106)</f>
        <v>110998</v>
      </c>
      <c r="E111" s="423">
        <f>SUM('SAV+VALST+NEVALST'!E111, NVŠĮB!E106)</f>
        <v>3533</v>
      </c>
      <c r="F111" s="423">
        <f>SUM('SAV+VALST+NEVALST'!F111, NVŠĮB!F106)</f>
        <v>28333</v>
      </c>
      <c r="G111" s="423">
        <f>SUM('SAV+VALST+NEVALST'!G111, NVŠĮB!G106)</f>
        <v>40196</v>
      </c>
      <c r="H111" s="423">
        <f>SUM('SAV+VALST+NEVALST'!H111, NVŠĮB!H106)</f>
        <v>14</v>
      </c>
      <c r="I111" s="423">
        <f>SUM('SAV+VALST+NEVALST'!I111, NVŠĮB!I106)</f>
        <v>11</v>
      </c>
      <c r="J111" s="431">
        <f>SUM('SAV+VALST+NEVALST'!J111, NVŠĮB!J106)</f>
        <v>11</v>
      </c>
    </row>
    <row r="112" spans="2:10" x14ac:dyDescent="0.2">
      <c r="B112" s="430" t="s">
        <v>113</v>
      </c>
      <c r="C112" s="423">
        <f>SUM('SAV+VALST+NEVALST'!C112, NVŠĮB!C107)</f>
        <v>126</v>
      </c>
      <c r="D112" s="423">
        <f>SUM('SAV+VALST+NEVALST'!D112, NVŠĮB!D107)</f>
        <v>1214188</v>
      </c>
      <c r="E112" s="423">
        <f>SUM('SAV+VALST+NEVALST'!E112, NVŠĮB!E107)</f>
        <v>66941</v>
      </c>
      <c r="F112" s="423">
        <f>SUM('SAV+VALST+NEVALST'!F112, NVŠĮB!F107)</f>
        <v>652246</v>
      </c>
      <c r="G112" s="423">
        <f>SUM('SAV+VALST+NEVALST'!G112, NVŠĮB!G107)</f>
        <v>843539</v>
      </c>
      <c r="H112" s="423">
        <f>SUM('SAV+VALST+NEVALST'!H112, NVŠĮB!H107)</f>
        <v>181</v>
      </c>
      <c r="I112" s="423">
        <f>SUM('SAV+VALST+NEVALST'!I112, NVŠĮB!I107)</f>
        <v>122</v>
      </c>
      <c r="J112" s="431">
        <f>SUM('SAV+VALST+NEVALST'!J112, NVŠĮB!J107)</f>
        <v>122</v>
      </c>
    </row>
    <row r="113" spans="2:10" x14ac:dyDescent="0.2">
      <c r="B113" s="430" t="s">
        <v>221</v>
      </c>
      <c r="C113" s="541">
        <f>SUM('SAV+VALST+NEVALST'!C113, NVŠĮB!C108)</f>
        <v>40</v>
      </c>
      <c r="D113" s="541">
        <f>SUM('SAV+VALST+NEVALST'!D113, NVŠĮB!D108)</f>
        <v>374361</v>
      </c>
      <c r="E113" s="541">
        <f>SUM('SAV+VALST+NEVALST'!E113, NVŠĮB!E108)</f>
        <v>9264</v>
      </c>
      <c r="F113" s="541">
        <f>SUM('SAV+VALST+NEVALST'!F113, NVŠĮB!F108)</f>
        <v>84082</v>
      </c>
      <c r="G113" s="541">
        <f>SUM('SAV+VALST+NEVALST'!G113, NVŠĮB!G108)</f>
        <v>131734</v>
      </c>
      <c r="H113" s="541">
        <f>SUM('SAV+VALST+NEVALST'!H113, NVŠĮB!H108)</f>
        <v>58</v>
      </c>
      <c r="I113" s="541">
        <f>SUM('SAV+VALST+NEVALST'!I113, NVŠĮB!I108)</f>
        <v>38</v>
      </c>
      <c r="J113" s="433">
        <f>SUM('SAV+VALST+NEVALST'!J113, NVŠĮB!J108)</f>
        <v>38</v>
      </c>
    </row>
    <row r="114" spans="2:10" ht="14.25" customHeight="1" x14ac:dyDescent="0.2">
      <c r="B114" s="434" t="s">
        <v>22</v>
      </c>
      <c r="C114" s="434">
        <f>SUM(C106:C113)</f>
        <v>237</v>
      </c>
      <c r="D114" s="434">
        <f t="shared" ref="D114:J114" si="9">SUM(D106:D113)</f>
        <v>2160452</v>
      </c>
      <c r="E114" s="434">
        <f t="shared" si="9"/>
        <v>93055</v>
      </c>
      <c r="F114" s="434">
        <f t="shared" si="9"/>
        <v>907761</v>
      </c>
      <c r="G114" s="434">
        <f t="shared" si="9"/>
        <v>1191236</v>
      </c>
      <c r="H114" s="434">
        <f t="shared" si="9"/>
        <v>319</v>
      </c>
      <c r="I114" s="434">
        <f t="shared" si="9"/>
        <v>222</v>
      </c>
      <c r="J114" s="434">
        <f t="shared" si="9"/>
        <v>222</v>
      </c>
    </row>
    <row r="115" spans="2:10" s="439" customFormat="1" ht="18" customHeight="1" x14ac:dyDescent="0.25">
      <c r="B115" s="438" t="s">
        <v>115</v>
      </c>
      <c r="C115" s="438">
        <f t="shared" ref="C115:J115" si="10">C19+C29+C38+C45+C53+C84+C90+C96+C104+C114</f>
        <v>839</v>
      </c>
      <c r="D115" s="438">
        <f t="shared" si="10"/>
        <v>8281029</v>
      </c>
      <c r="E115" s="438">
        <f t="shared" si="10"/>
        <v>304816</v>
      </c>
      <c r="F115" s="438">
        <f t="shared" si="10"/>
        <v>2977875</v>
      </c>
      <c r="G115" s="438">
        <f t="shared" si="10"/>
        <v>3838091</v>
      </c>
      <c r="H115" s="438">
        <f t="shared" si="10"/>
        <v>1082</v>
      </c>
      <c r="I115" s="438">
        <f t="shared" si="10"/>
        <v>795</v>
      </c>
      <c r="J115" s="438">
        <f t="shared" si="10"/>
        <v>795</v>
      </c>
    </row>
    <row r="116" spans="2:10" x14ac:dyDescent="0.2">
      <c r="B116" s="440"/>
    </row>
  </sheetData>
  <mergeCells count="21">
    <mergeCell ref="B72:B74"/>
    <mergeCell ref="C72:C74"/>
    <mergeCell ref="D72:D74"/>
    <mergeCell ref="E72:E74"/>
    <mergeCell ref="F72:F74"/>
    <mergeCell ref="H72:H74"/>
    <mergeCell ref="I72:J73"/>
    <mergeCell ref="G9:G11"/>
    <mergeCell ref="H9:H11"/>
    <mergeCell ref="I9:J10"/>
    <mergeCell ref="G72:G74"/>
    <mergeCell ref="F9:F11"/>
    <mergeCell ref="B2:J2"/>
    <mergeCell ref="B3:J3"/>
    <mergeCell ref="B4:J4"/>
    <mergeCell ref="I6:J6"/>
    <mergeCell ref="B7:J7"/>
    <mergeCell ref="B9:B11"/>
    <mergeCell ref="C9:C11"/>
    <mergeCell ref="D9:D11"/>
    <mergeCell ref="E9:E11"/>
  </mergeCells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178"/>
  <sheetViews>
    <sheetView topLeftCell="A75" zoomScaleNormal="100" workbookViewId="0">
      <selection activeCell="C76" sqref="C76:J115"/>
    </sheetView>
  </sheetViews>
  <sheetFormatPr defaultColWidth="9.140625" defaultRowHeight="12" x14ac:dyDescent="0.2"/>
  <cols>
    <col min="1" max="1" width="4.140625" style="161" customWidth="1"/>
    <col min="2" max="2" width="15.14062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7109375" style="161" customWidth="1"/>
    <col min="8" max="8" width="10.5703125" style="161" customWidth="1"/>
    <col min="9" max="9" width="7.28515625" style="161" customWidth="1"/>
    <col min="10" max="10" width="8.85546875" style="161" customWidth="1"/>
    <col min="11" max="16384" width="9.140625" style="161"/>
  </cols>
  <sheetData>
    <row r="2" spans="2:21" s="175" customFormat="1" ht="15.75" x14ac:dyDescent="0.25">
      <c r="B2" s="961" t="s">
        <v>163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173"/>
      <c r="C3" s="1000" t="s">
        <v>164</v>
      </c>
      <c r="D3" s="1000"/>
      <c r="E3" s="1000"/>
      <c r="F3" s="1000"/>
      <c r="G3" s="1000"/>
      <c r="H3" s="1000"/>
      <c r="I3" s="173"/>
      <c r="J3" s="173"/>
    </row>
    <row r="4" spans="2:21" s="175" customFormat="1" ht="15.75" x14ac:dyDescent="0.25">
      <c r="B4" s="174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x14ac:dyDescent="0.2">
      <c r="B11" s="428" t="s">
        <v>151</v>
      </c>
      <c r="C11" s="423"/>
      <c r="D11" s="423"/>
      <c r="E11" s="423"/>
      <c r="F11" s="423"/>
      <c r="G11" s="423"/>
      <c r="H11" s="423"/>
      <c r="I11" s="423"/>
      <c r="J11" s="429"/>
    </row>
    <row r="12" spans="2:21" ht="12.75" x14ac:dyDescent="0.2">
      <c r="B12" s="430" t="s">
        <v>88</v>
      </c>
      <c r="C12" s="423">
        <f>SUM(SAV_BUMB!C12)</f>
        <v>14</v>
      </c>
      <c r="D12" s="423">
        <f>SUM(SAV_BUMB!D12)</f>
        <v>169691</v>
      </c>
      <c r="E12" s="423">
        <f>SUM(SAV_BUMB!E12)</f>
        <v>6066</v>
      </c>
      <c r="F12" s="423">
        <f>SUM(SAV_BUMB!F12)</f>
        <v>63952</v>
      </c>
      <c r="G12" s="423">
        <f>SUM(SAV_BUMB!G12)</f>
        <v>83551</v>
      </c>
      <c r="H12" s="423">
        <f>SUM(SAV_BUMB!H12)</f>
        <v>19</v>
      </c>
      <c r="I12" s="423">
        <f>SUM(SAV_BUMB!I12)</f>
        <v>14</v>
      </c>
      <c r="J12" s="431">
        <f>SUM(SAV_BUMB!J12)</f>
        <v>14</v>
      </c>
      <c r="U12" s="376"/>
    </row>
    <row r="13" spans="2:21" ht="12.75" x14ac:dyDescent="0.2">
      <c r="B13" s="430" t="s">
        <v>179</v>
      </c>
      <c r="C13" s="423">
        <f>SUM(SAV_BUMB!C13)</f>
        <v>1</v>
      </c>
      <c r="D13" s="423">
        <f>SUM(SAV_BUMB!D13)</f>
        <v>5435</v>
      </c>
      <c r="E13" s="423">
        <f>SUM(SAV_BUMB!E13)</f>
        <v>37</v>
      </c>
      <c r="F13" s="423">
        <f>SUM(SAV_BUMB!F13)</f>
        <v>654</v>
      </c>
      <c r="G13" s="423">
        <f>SUM(SAV_BUMB!G13)</f>
        <v>531</v>
      </c>
      <c r="H13" s="423">
        <f>SUM(SAV_BUMB!H13)</f>
        <v>1</v>
      </c>
      <c r="I13" s="423">
        <f>SUM(SAV_BUMB!I13)</f>
        <v>1</v>
      </c>
      <c r="J13" s="431">
        <f>SUM(SAV_BUMB!J13)</f>
        <v>1</v>
      </c>
      <c r="U13" s="376"/>
    </row>
    <row r="14" spans="2:21" ht="12.75" x14ac:dyDescent="0.2">
      <c r="B14" s="430" t="s">
        <v>89</v>
      </c>
      <c r="C14" s="423">
        <f>SUM(SAV_BUMB!C14)</f>
        <v>5</v>
      </c>
      <c r="D14" s="423">
        <f>SUM(SAV_BUMB!D14)</f>
        <v>57761</v>
      </c>
      <c r="E14" s="423">
        <f>SUM(SAV_BUMB!E14)</f>
        <v>3016</v>
      </c>
      <c r="F14" s="423">
        <f>SUM(SAV_BUMB!F14)</f>
        <v>60180</v>
      </c>
      <c r="G14" s="423">
        <f>SUM(SAV_BUMB!G14)</f>
        <v>39683</v>
      </c>
      <c r="H14" s="423">
        <f>SUM(SAV_BUMB!H14)</f>
        <v>8</v>
      </c>
      <c r="I14" s="423">
        <f>SUM(SAV_BUMB!I14)</f>
        <v>5</v>
      </c>
      <c r="J14" s="431">
        <f>SUM(SAV_BUMB!J14)</f>
        <v>5</v>
      </c>
      <c r="U14" s="376"/>
    </row>
    <row r="15" spans="2:21" x14ac:dyDescent="0.2">
      <c r="B15" s="430" t="s">
        <v>180</v>
      </c>
      <c r="C15" s="423">
        <f>SUM(SAV_BUMB!C15)</f>
        <v>7</v>
      </c>
      <c r="D15" s="423">
        <f>SUM(SAV_BUMB!D15)</f>
        <v>52075</v>
      </c>
      <c r="E15" s="423">
        <f>SUM(SAV_BUMB!E15)</f>
        <v>1528</v>
      </c>
      <c r="F15" s="423">
        <f>SUM(SAV_BUMB!F15)</f>
        <v>22132</v>
      </c>
      <c r="G15" s="423">
        <f>SUM(SAV_BUMB!G15)</f>
        <v>21631</v>
      </c>
      <c r="H15" s="423">
        <f>SUM(SAV_BUMB!H15)</f>
        <v>9</v>
      </c>
      <c r="I15" s="423">
        <f>SUM(SAV_BUMB!I15)</f>
        <v>6</v>
      </c>
      <c r="J15" s="431">
        <f>SUM(SAV_BUMB!J15)</f>
        <v>6</v>
      </c>
    </row>
    <row r="16" spans="2:21" x14ac:dyDescent="0.2">
      <c r="B16" s="430" t="s">
        <v>181</v>
      </c>
      <c r="C16" s="423">
        <f>SUM(SAV_BUMB!C16)</f>
        <v>7</v>
      </c>
      <c r="D16" s="423">
        <f>SUM(SAV_BUMB!D16)</f>
        <v>100297</v>
      </c>
      <c r="E16" s="423">
        <f>SUM(SAV_BUMB!E16)</f>
        <v>1626</v>
      </c>
      <c r="F16" s="423">
        <f>SUM(SAV_BUMB!F16)</f>
        <v>13848</v>
      </c>
      <c r="G16" s="423">
        <f>SUM(SAV_BUMB!G16)</f>
        <v>15965</v>
      </c>
      <c r="H16" s="423">
        <f>SUM(SAV_BUMB!H16)</f>
        <v>6</v>
      </c>
      <c r="I16" s="423">
        <f>SUM(SAV_BUMB!I16)</f>
        <v>6</v>
      </c>
      <c r="J16" s="433">
        <f>SUM(SAV_BUMB!J16)</f>
        <v>6</v>
      </c>
    </row>
    <row r="17" spans="2:11" ht="15" customHeight="1" x14ac:dyDescent="0.2">
      <c r="B17" s="434" t="s">
        <v>22</v>
      </c>
      <c r="C17" s="434">
        <f>SUM(C12:C16)</f>
        <v>34</v>
      </c>
      <c r="D17" s="434">
        <f>SUM(D12:D16)</f>
        <v>385259</v>
      </c>
      <c r="E17" s="434">
        <f t="shared" ref="E17:J17" si="0">SUM(E12:E16)</f>
        <v>12273</v>
      </c>
      <c r="F17" s="434">
        <f t="shared" si="0"/>
        <v>160766</v>
      </c>
      <c r="G17" s="434">
        <f t="shared" si="0"/>
        <v>161361</v>
      </c>
      <c r="H17" s="434">
        <f t="shared" si="0"/>
        <v>43</v>
      </c>
      <c r="I17" s="434">
        <f>SUM(I12:I16)</f>
        <v>32</v>
      </c>
      <c r="J17" s="434">
        <f t="shared" si="0"/>
        <v>32</v>
      </c>
    </row>
    <row r="18" spans="2:11" x14ac:dyDescent="0.2">
      <c r="B18" s="441" t="s">
        <v>152</v>
      </c>
      <c r="C18" s="442"/>
      <c r="D18" s="442"/>
      <c r="E18" s="442"/>
      <c r="F18" s="442"/>
      <c r="G18" s="442"/>
      <c r="H18" s="442"/>
      <c r="I18" s="442"/>
      <c r="J18" s="429"/>
    </row>
    <row r="19" spans="2:11" x14ac:dyDescent="0.2">
      <c r="B19" s="430" t="s">
        <v>91</v>
      </c>
      <c r="C19" s="423">
        <f>SUM(SAV_BUMB!C19)</f>
        <v>1</v>
      </c>
      <c r="D19" s="423">
        <f>SUM(SAV_BUMB!D19)</f>
        <v>8903</v>
      </c>
      <c r="E19" s="423">
        <f>SUM(SAV_BUMB!E19)</f>
        <v>419</v>
      </c>
      <c r="F19" s="423">
        <f>SUM(SAV_BUMB!F19)</f>
        <v>1058</v>
      </c>
      <c r="G19" s="423">
        <f>SUM(SAV_BUMB!G19)</f>
        <v>8263</v>
      </c>
      <c r="H19" s="423">
        <f>SUM(SAV_BUMB!H19)</f>
        <v>1</v>
      </c>
      <c r="I19" s="423">
        <f>SUM(SAV_BUMB!I19)</f>
        <v>1</v>
      </c>
      <c r="J19" s="431">
        <f>SUM(SAV_BUMB!J19)</f>
        <v>1</v>
      </c>
    </row>
    <row r="20" spans="2:11" x14ac:dyDescent="0.2">
      <c r="B20" s="430" t="s">
        <v>182</v>
      </c>
      <c r="C20" s="423">
        <f>SUM(SAV_BUMB!C20)</f>
        <v>14</v>
      </c>
      <c r="D20" s="423">
        <f>SUM(SAV_BUMB!D20)</f>
        <v>169878</v>
      </c>
      <c r="E20" s="423">
        <f>SUM(SAV_BUMB!E20)</f>
        <v>3981</v>
      </c>
      <c r="F20" s="423">
        <f>SUM(SAV_BUMB!F20)</f>
        <v>35560</v>
      </c>
      <c r="G20" s="423">
        <f>SUM(SAV_BUMB!G20)</f>
        <v>64095</v>
      </c>
      <c r="H20" s="423">
        <f>SUM(SAV_BUMB!H20)</f>
        <v>19</v>
      </c>
      <c r="I20" s="423">
        <f>SUM(SAV_BUMB!I20)</f>
        <v>14</v>
      </c>
      <c r="J20" s="431">
        <f>SUM(SAV_BUMB!J20)</f>
        <v>14</v>
      </c>
    </row>
    <row r="21" spans="2:11" x14ac:dyDescent="0.2">
      <c r="B21" s="430" t="s">
        <v>183</v>
      </c>
      <c r="C21" s="423">
        <f>SUM(SAV_BUMB!C21)</f>
        <v>10</v>
      </c>
      <c r="D21" s="423">
        <f>SUM(SAV_BUMB!D21)</f>
        <v>105565</v>
      </c>
      <c r="E21" s="423">
        <f>SUM(SAV_BUMB!E21)</f>
        <v>3047</v>
      </c>
      <c r="F21" s="423">
        <f>SUM(SAV_BUMB!F21)</f>
        <v>23715</v>
      </c>
      <c r="G21" s="423">
        <f>SUM(SAV_BUMB!G21)</f>
        <v>71274</v>
      </c>
      <c r="H21" s="423">
        <f>SUM(SAV_BUMB!H21)</f>
        <v>13</v>
      </c>
      <c r="I21" s="423">
        <f>SUM(SAV_BUMB!I21)</f>
        <v>9</v>
      </c>
      <c r="J21" s="431">
        <f>SUM(SAV_BUMB!J21)</f>
        <v>9</v>
      </c>
    </row>
    <row r="22" spans="2:11" x14ac:dyDescent="0.2">
      <c r="B22" s="430" t="s">
        <v>92</v>
      </c>
      <c r="C22" s="423">
        <f>SUM(SAV_BUMB!C22, VALST_BUMB!C22,NEVALST_BUMB!C21)</f>
        <v>68</v>
      </c>
      <c r="D22" s="423">
        <f>SUM(SAV_BUMB!D22, VALST_BUMB!D22,NEVALST_BUMB!D21)</f>
        <v>623895</v>
      </c>
      <c r="E22" s="423">
        <f>SUM(SAV_BUMB!E22, VALST_BUMB!E22,NEVALST_BUMB!E21)</f>
        <v>33493</v>
      </c>
      <c r="F22" s="423">
        <f>SUM(SAV_BUMB!F22, VALST_BUMB!F22,NEVALST_BUMB!F21)</f>
        <v>309224</v>
      </c>
      <c r="G22" s="423">
        <f>SUM(SAV_BUMB!G22, VALST_BUMB!G22,NEVALST_BUMB!G21)</f>
        <v>313964</v>
      </c>
      <c r="H22" s="423">
        <f>SUM(SAV_BUMB!H22, VALST_BUMB!H22,NEVALST_BUMB!H21)</f>
        <v>92</v>
      </c>
      <c r="I22" s="423">
        <f>SUM(SAV_BUMB!I22, VALST_BUMB!I22,NEVALST_BUMB!I21)</f>
        <v>67</v>
      </c>
      <c r="J22" s="431">
        <f>SUM(SAV_BUMB!J22, VALST_BUMB!J22,NEVALST_BUMB!J21)</f>
        <v>67</v>
      </c>
      <c r="K22" s="423"/>
    </row>
    <row r="23" spans="2:11" x14ac:dyDescent="0.2">
      <c r="B23" s="430" t="s">
        <v>184</v>
      </c>
      <c r="C23" s="423">
        <f>SUM(SAV_BUMB!C23)</f>
        <v>19</v>
      </c>
      <c r="D23" s="423">
        <f>SUM(SAV_BUMB!D23)</f>
        <v>167687</v>
      </c>
      <c r="E23" s="423">
        <f>SUM(SAV_BUMB!E23)</f>
        <v>9069</v>
      </c>
      <c r="F23" s="423">
        <f>SUM(SAV_BUMB!F23)</f>
        <v>93730</v>
      </c>
      <c r="G23" s="423">
        <f>SUM(SAV_BUMB!G23)</f>
        <v>120309</v>
      </c>
      <c r="H23" s="423">
        <f>SUM(SAV_BUMB!H23)</f>
        <v>23</v>
      </c>
      <c r="I23" s="423">
        <f>SUM(SAV_BUMB!I23)</f>
        <v>19</v>
      </c>
      <c r="J23" s="431">
        <f>SUM(SAV_BUMB!J23)</f>
        <v>19</v>
      </c>
    </row>
    <row r="24" spans="2:11" x14ac:dyDescent="0.2">
      <c r="B24" s="430" t="s">
        <v>185</v>
      </c>
      <c r="C24" s="423">
        <f>SUM(SAV_BUMB!C24)</f>
        <v>14</v>
      </c>
      <c r="D24" s="423">
        <f>SUM(SAV_BUMB!D24)</f>
        <v>123484</v>
      </c>
      <c r="E24" s="423">
        <f>SUM(SAV_BUMB!E24)</f>
        <v>5044</v>
      </c>
      <c r="F24" s="423">
        <f>SUM(SAV_BUMB!F24)</f>
        <v>56142</v>
      </c>
      <c r="G24" s="423">
        <f>SUM(SAV_BUMB!G24)</f>
        <v>83342</v>
      </c>
      <c r="H24" s="423">
        <f>SUM(SAV_BUMB!H24)</f>
        <v>20</v>
      </c>
      <c r="I24" s="423">
        <f>SUM(SAV_BUMB!I24)</f>
        <v>13</v>
      </c>
      <c r="J24" s="431">
        <f>SUM(SAV_BUMB!J24)</f>
        <v>13</v>
      </c>
    </row>
    <row r="25" spans="2:11" x14ac:dyDescent="0.2">
      <c r="B25" s="430" t="s">
        <v>186</v>
      </c>
      <c r="C25" s="423">
        <f>SUM(SAV_BUMB!C25)</f>
        <v>10</v>
      </c>
      <c r="D25" s="423">
        <f>SUM(SAV_BUMB!D25)</f>
        <v>85352</v>
      </c>
      <c r="E25" s="423">
        <f>SUM(SAV_BUMB!E25)</f>
        <v>2851</v>
      </c>
      <c r="F25" s="423">
        <f>SUM(SAV_BUMB!F25)</f>
        <v>15062</v>
      </c>
      <c r="G25" s="423">
        <f>SUM(SAV_BUMB!G25)</f>
        <v>11816</v>
      </c>
      <c r="H25" s="423">
        <f>SUM(SAV_BUMB!H25)</f>
        <v>11</v>
      </c>
      <c r="I25" s="423">
        <f>SUM(SAV_BUMB!I25)</f>
        <v>10</v>
      </c>
      <c r="J25" s="431">
        <f>SUM(SAV_BUMB!J25)</f>
        <v>10</v>
      </c>
    </row>
    <row r="26" spans="2:11" x14ac:dyDescent="0.2">
      <c r="B26" s="430" t="s">
        <v>187</v>
      </c>
      <c r="C26" s="423">
        <f>SUM(SAV_BUMB!C26)</f>
        <v>10</v>
      </c>
      <c r="D26" s="423">
        <f>SUM(SAV_BUMB!D26)</f>
        <v>100533</v>
      </c>
      <c r="E26" s="423">
        <f>SUM(SAV_BUMB!E26)</f>
        <v>2884</v>
      </c>
      <c r="F26" s="423">
        <f>SUM(SAV_BUMB!F26)</f>
        <v>33683</v>
      </c>
      <c r="G26" s="423">
        <f>SUM(SAV_BUMB!G26)</f>
        <v>73015</v>
      </c>
      <c r="H26" s="423">
        <f>SUM(SAV_BUMB!H26)</f>
        <v>12</v>
      </c>
      <c r="I26" s="423">
        <f>SUM(SAV_BUMB!I26)</f>
        <v>10</v>
      </c>
      <c r="J26" s="433">
        <f>SUM(SAV_BUMB!J26)</f>
        <v>10</v>
      </c>
    </row>
    <row r="27" spans="2:11" ht="15" customHeight="1" x14ac:dyDescent="0.2">
      <c r="B27" s="434" t="s">
        <v>22</v>
      </c>
      <c r="C27" s="434">
        <f>SUM(C19:C26)</f>
        <v>146</v>
      </c>
      <c r="D27" s="434">
        <f t="shared" ref="D27:J27" si="1">SUM(D19:D26)</f>
        <v>1385297</v>
      </c>
      <c r="E27" s="434">
        <f t="shared" si="1"/>
        <v>60788</v>
      </c>
      <c r="F27" s="434">
        <f t="shared" si="1"/>
        <v>568174</v>
      </c>
      <c r="G27" s="434">
        <f t="shared" si="1"/>
        <v>746078</v>
      </c>
      <c r="H27" s="434">
        <f t="shared" si="1"/>
        <v>191</v>
      </c>
      <c r="I27" s="434">
        <f t="shared" si="1"/>
        <v>143</v>
      </c>
      <c r="J27" s="434">
        <f t="shared" si="1"/>
        <v>143</v>
      </c>
    </row>
    <row r="28" spans="2:11" x14ac:dyDescent="0.2">
      <c r="B28" s="428" t="s">
        <v>153</v>
      </c>
      <c r="C28" s="423"/>
      <c r="D28" s="423"/>
      <c r="E28" s="423"/>
      <c r="F28" s="423"/>
      <c r="G28" s="423"/>
      <c r="H28" s="423"/>
      <c r="I28" s="423"/>
      <c r="J28" s="429"/>
    </row>
    <row r="29" spans="2:11" x14ac:dyDescent="0.2">
      <c r="B29" s="430" t="s">
        <v>94</v>
      </c>
      <c r="C29" s="423">
        <f>SUM(SAV_BUMB!C29, VALST_BUMB!C29,NEVALST_BUMB!C46)</f>
        <v>36</v>
      </c>
      <c r="D29" s="423">
        <f>SUM(SAV_BUMB!D29, VALST_BUMB!D29,NEVALST_BUMB!D46)</f>
        <v>402361</v>
      </c>
      <c r="E29" s="423">
        <f>SUM(SAV_BUMB!E29, VALST_BUMB!E29,NEVALST_BUMB!E46)</f>
        <v>16621</v>
      </c>
      <c r="F29" s="423">
        <f>SUM(SAV_BUMB!F29, VALST_BUMB!F29,NEVALST_BUMB!F46)</f>
        <v>187446</v>
      </c>
      <c r="G29" s="423">
        <f>SUM(SAV_BUMB!G29, VALST_BUMB!G29,NEVALST_BUMB!G46)</f>
        <v>162630</v>
      </c>
      <c r="H29" s="423">
        <f>SUM(SAV_BUMB!H29, VALST_BUMB!H29,NEVALST_BUMB!H46)</f>
        <v>45</v>
      </c>
      <c r="I29" s="423">
        <f>SUM(SAV_BUMB!I29, VALST_BUMB!I29,NEVALST_BUMB!I46)</f>
        <v>34</v>
      </c>
      <c r="J29" s="431">
        <f>SUM(SAV_BUMB!J29, VALST_BUMB!J29,NEVALST_BUMB!J46)</f>
        <v>34</v>
      </c>
    </row>
    <row r="30" spans="2:11" x14ac:dyDescent="0.2">
      <c r="B30" s="430" t="s">
        <v>188</v>
      </c>
      <c r="C30" s="423">
        <f>SUM(SAV_BUMB!C30)</f>
        <v>13</v>
      </c>
      <c r="D30" s="423">
        <f>SUM(SAV_BUMB!D30)</f>
        <v>112965</v>
      </c>
      <c r="E30" s="423">
        <f>SUM(SAV_BUMB!E30)</f>
        <v>4592</v>
      </c>
      <c r="F30" s="423">
        <f>SUM(SAV_BUMB!F30)</f>
        <v>45349</v>
      </c>
      <c r="G30" s="423">
        <f>SUM(SAV_BUMB!G30)</f>
        <v>66506</v>
      </c>
      <c r="H30" s="423">
        <f>SUM(SAV_BUMB!H30)</f>
        <v>23</v>
      </c>
      <c r="I30" s="423">
        <f>SUM(SAV_BUMB!I30)</f>
        <v>13</v>
      </c>
      <c r="J30" s="431">
        <f>SUM(SAV_BUMB!J30)</f>
        <v>13</v>
      </c>
    </row>
    <row r="31" spans="2:11" x14ac:dyDescent="0.2">
      <c r="B31" s="430" t="s">
        <v>189</v>
      </c>
      <c r="C31" s="423">
        <f>SUM(SAV_BUMB!C31)</f>
        <v>13</v>
      </c>
      <c r="D31" s="423">
        <f>SUM(SAV_BUMB!D31)</f>
        <v>85845</v>
      </c>
      <c r="E31" s="423">
        <f>SUM(SAV_BUMB!E31)</f>
        <v>4586</v>
      </c>
      <c r="F31" s="423">
        <f>SUM(SAV_BUMB!F31)</f>
        <v>32005</v>
      </c>
      <c r="G31" s="423">
        <f>SUM(SAV_BUMB!G31)</f>
        <v>65024</v>
      </c>
      <c r="H31" s="423">
        <f>SUM(SAV_BUMB!H31)</f>
        <v>20</v>
      </c>
      <c r="I31" s="423">
        <f>SUM(SAV_BUMB!I31)</f>
        <v>13</v>
      </c>
      <c r="J31" s="431">
        <f>SUM(SAV_BUMB!J31)</f>
        <v>13</v>
      </c>
    </row>
    <row r="32" spans="2:11" x14ac:dyDescent="0.2">
      <c r="B32" s="430" t="s">
        <v>95</v>
      </c>
      <c r="C32" s="423">
        <f>SUM(SAV_BUMB!C32)</f>
        <v>1</v>
      </c>
      <c r="D32" s="423">
        <f>SUM(SAV_BUMB!D32)</f>
        <v>12267</v>
      </c>
      <c r="E32" s="423">
        <f>SUM(SAV_BUMB!E32)</f>
        <v>110</v>
      </c>
      <c r="F32" s="423">
        <f>SUM(SAV_BUMB!F32)</f>
        <v>1378</v>
      </c>
      <c r="G32" s="423">
        <f>SUM(SAV_BUMB!G32)</f>
        <v>1452</v>
      </c>
      <c r="H32" s="423">
        <f>SUM(SAV_BUMB!H32)</f>
        <v>1</v>
      </c>
      <c r="I32" s="423">
        <f>SUM(SAV_BUMB!I32)</f>
        <v>1</v>
      </c>
      <c r="J32" s="431">
        <f>SUM(SAV_BUMB!J32)</f>
        <v>1</v>
      </c>
    </row>
    <row r="33" spans="2:10" x14ac:dyDescent="0.2">
      <c r="B33" s="430" t="s">
        <v>96</v>
      </c>
      <c r="C33" s="423">
        <f>SUM(SAV_BUMB!C33)</f>
        <v>6</v>
      </c>
      <c r="D33" s="423">
        <f>SUM(SAV_BUMB!D33)</f>
        <v>77764</v>
      </c>
      <c r="E33" s="423">
        <f>SUM(SAV_BUMB!E33)</f>
        <v>3324</v>
      </c>
      <c r="F33" s="423">
        <f>SUM(SAV_BUMB!F33)</f>
        <v>19217</v>
      </c>
      <c r="G33" s="423">
        <f>SUM(SAV_BUMB!G33)</f>
        <v>33917</v>
      </c>
      <c r="H33" s="423">
        <f>SUM(SAV_BUMB!H33)</f>
        <v>9</v>
      </c>
      <c r="I33" s="423">
        <f>SUM(SAV_BUMB!I33)</f>
        <v>6</v>
      </c>
      <c r="J33" s="431">
        <f>SUM(SAV_BUMB!J33)</f>
        <v>6</v>
      </c>
    </row>
    <row r="34" spans="2:10" x14ac:dyDescent="0.2">
      <c r="B34" s="430" t="s">
        <v>190</v>
      </c>
      <c r="C34" s="423">
        <f>SUM(SAV_BUMB!C34)</f>
        <v>4</v>
      </c>
      <c r="D34" s="423">
        <f>SUM(SAV_BUMB!D34)</f>
        <v>53148</v>
      </c>
      <c r="E34" s="423">
        <f>SUM(SAV_BUMB!E34)</f>
        <v>1172</v>
      </c>
      <c r="F34" s="423">
        <f>SUM(SAV_BUMB!F34)</f>
        <v>20126</v>
      </c>
      <c r="G34" s="423">
        <f>SUM(SAV_BUMB!G34)</f>
        <v>15310</v>
      </c>
      <c r="H34" s="423">
        <f>SUM(SAV_BUMB!H34)</f>
        <v>5</v>
      </c>
      <c r="I34" s="423">
        <f>SUM(SAV_BUMB!I34)</f>
        <v>4</v>
      </c>
      <c r="J34" s="431">
        <f>SUM(SAV_BUMB!J34)</f>
        <v>4</v>
      </c>
    </row>
    <row r="35" spans="2:10" x14ac:dyDescent="0.2">
      <c r="B35" s="430" t="s">
        <v>191</v>
      </c>
      <c r="C35" s="423">
        <f>SUM(SAV_BUMB!C35, VALST_BUMB!C35)</f>
        <v>11</v>
      </c>
      <c r="D35" s="423">
        <f>SUM(SAV_BUMB!D35, VALST_BUMB!D35)</f>
        <v>108109</v>
      </c>
      <c r="E35" s="423">
        <f>SUM(SAV_BUMB!E35, VALST_BUMB!E35)</f>
        <v>3773</v>
      </c>
      <c r="F35" s="423">
        <f>SUM(SAV_BUMB!F35, VALST_BUMB!F35)</f>
        <v>43258</v>
      </c>
      <c r="G35" s="423">
        <f>SUM(SAV_BUMB!G35, VALST_BUMB!G35)</f>
        <v>66291</v>
      </c>
      <c r="H35" s="423">
        <f>SUM(SAV_BUMB!H35, VALST_BUMB!H35)</f>
        <v>14</v>
      </c>
      <c r="I35" s="423">
        <f>SUM(SAV_BUMB!I35, VALST_BUMB!I35)</f>
        <v>10</v>
      </c>
      <c r="J35" s="433">
        <f>SUM(SAV_BUMB!J35, VALST_BUMB!J35)</f>
        <v>10</v>
      </c>
    </row>
    <row r="36" spans="2:10" ht="14.25" customHeight="1" x14ac:dyDescent="0.2">
      <c r="B36" s="434" t="s">
        <v>22</v>
      </c>
      <c r="C36" s="434">
        <f>SUM(C29:C35)</f>
        <v>84</v>
      </c>
      <c r="D36" s="434">
        <f t="shared" ref="D36:J36" si="2">SUM(D29:D35)</f>
        <v>852459</v>
      </c>
      <c r="E36" s="434">
        <f t="shared" si="2"/>
        <v>34178</v>
      </c>
      <c r="F36" s="434">
        <f t="shared" si="2"/>
        <v>348779</v>
      </c>
      <c r="G36" s="434">
        <f t="shared" si="2"/>
        <v>411130</v>
      </c>
      <c r="H36" s="434">
        <f t="shared" si="2"/>
        <v>117</v>
      </c>
      <c r="I36" s="434">
        <f t="shared" si="2"/>
        <v>81</v>
      </c>
      <c r="J36" s="434">
        <f t="shared" si="2"/>
        <v>81</v>
      </c>
    </row>
    <row r="37" spans="2:10" x14ac:dyDescent="0.2">
      <c r="B37" s="428" t="s">
        <v>97</v>
      </c>
      <c r="C37" s="423"/>
      <c r="D37" s="423"/>
      <c r="E37" s="423"/>
      <c r="F37" s="423"/>
      <c r="G37" s="423"/>
      <c r="H37" s="423"/>
      <c r="I37" s="423"/>
      <c r="J37" s="429"/>
    </row>
    <row r="38" spans="2:10" x14ac:dyDescent="0.2">
      <c r="B38" s="430" t="s">
        <v>98</v>
      </c>
      <c r="C38" s="423">
        <f>SUM(SAV_BUMB!C38)</f>
        <v>4</v>
      </c>
      <c r="D38" s="423">
        <f>SUM(SAV_BUMB!D38)</f>
        <v>43480</v>
      </c>
      <c r="E38" s="423">
        <f>SUM(SAV_BUMB!E38)</f>
        <v>781</v>
      </c>
      <c r="F38" s="423">
        <f>SUM(SAV_BUMB!F38)</f>
        <v>5155</v>
      </c>
      <c r="G38" s="423">
        <f>SUM(SAV_BUMB!G38)</f>
        <v>9043</v>
      </c>
      <c r="H38" s="423">
        <f>SUM(SAV_BUMB!H38)</f>
        <v>5</v>
      </c>
      <c r="I38" s="423">
        <f>SUM(SAV_BUMB!I38)</f>
        <v>4</v>
      </c>
      <c r="J38" s="431">
        <f>SUM(SAV_BUMB!J38)</f>
        <v>4</v>
      </c>
    </row>
    <row r="39" spans="2:10" x14ac:dyDescent="0.2">
      <c r="B39" s="430" t="s">
        <v>99</v>
      </c>
      <c r="C39" s="423">
        <f>SUM(SAV_BUMB!C39)</f>
        <v>3</v>
      </c>
      <c r="D39" s="423">
        <f>SUM(SAV_BUMB!D39)</f>
        <v>16553</v>
      </c>
      <c r="E39" s="423">
        <f>SUM(SAV_BUMB!E39)</f>
        <v>694</v>
      </c>
      <c r="F39" s="423">
        <f>SUM(SAV_BUMB!F39)</f>
        <v>9273</v>
      </c>
      <c r="G39" s="423">
        <f>SUM(SAV_BUMB!G39)</f>
        <v>8224</v>
      </c>
      <c r="H39" s="423">
        <f>SUM(SAV_BUMB!H39)</f>
        <v>4</v>
      </c>
      <c r="I39" s="423">
        <f>SUM(SAV_BUMB!I39)</f>
        <v>3</v>
      </c>
      <c r="J39" s="431">
        <f>SUM(SAV_BUMB!J39)</f>
        <v>3</v>
      </c>
    </row>
    <row r="40" spans="2:10" x14ac:dyDescent="0.2">
      <c r="B40" s="430" t="s">
        <v>100</v>
      </c>
      <c r="C40" s="423">
        <f>SUM(SAV_BUMB!C40, NEVALST_BUMB!C56)</f>
        <v>16</v>
      </c>
      <c r="D40" s="423">
        <f>SUM(SAV_BUMB!D40, NEVALST_BUMB!D56)</f>
        <v>149434</v>
      </c>
      <c r="E40" s="423">
        <f>SUM(SAV_BUMB!E40, NEVALST_BUMB!E56)</f>
        <v>5931</v>
      </c>
      <c r="F40" s="423">
        <f>SUM(SAV_BUMB!F40, NEVALST_BUMB!F56)</f>
        <v>50380</v>
      </c>
      <c r="G40" s="423">
        <f>SUM(SAV_BUMB!G40, NEVALST_BUMB!G56)</f>
        <v>76143</v>
      </c>
      <c r="H40" s="423">
        <f>SUM(SAV_BUMB!H40, NEVALST_BUMB!H56)</f>
        <v>19</v>
      </c>
      <c r="I40" s="423">
        <f>SUM(SAV_BUMB!I40, NEVALST_BUMB!I56)</f>
        <v>16</v>
      </c>
      <c r="J40" s="431">
        <f>SUM(SAV_BUMB!J40, NEVALST_BUMB!J56)</f>
        <v>16</v>
      </c>
    </row>
    <row r="41" spans="2:10" x14ac:dyDescent="0.2">
      <c r="B41" s="430" t="s">
        <v>192</v>
      </c>
      <c r="C41" s="423">
        <f>SUM(SAV_BUMB!C41)</f>
        <v>10</v>
      </c>
      <c r="D41" s="423">
        <f>SUM(SAV_BUMB!D41)</f>
        <v>119555</v>
      </c>
      <c r="E41" s="423">
        <f>SUM(SAV_BUMB!E41)</f>
        <v>2848</v>
      </c>
      <c r="F41" s="423">
        <f>SUM(SAV_BUMB!F41)</f>
        <v>27976</v>
      </c>
      <c r="G41" s="423">
        <f>SUM(SAV_BUMB!G41)</f>
        <v>42560</v>
      </c>
      <c r="H41" s="423">
        <f>SUM(SAV_BUMB!H41)</f>
        <v>13</v>
      </c>
      <c r="I41" s="423">
        <f>SUM(SAV_BUMB!I41)</f>
        <v>9</v>
      </c>
      <c r="J41" s="431">
        <f>SUM(SAV_BUMB!J41)</f>
        <v>9</v>
      </c>
    </row>
    <row r="42" spans="2:10" x14ac:dyDescent="0.2">
      <c r="B42" s="430" t="s">
        <v>193</v>
      </c>
      <c r="C42" s="423">
        <f>SUM(SAV_BUMB!C42)</f>
        <v>13</v>
      </c>
      <c r="D42" s="423">
        <f>SUM(SAV_BUMB!D42)</f>
        <v>169907</v>
      </c>
      <c r="E42" s="423">
        <f>SUM(SAV_BUMB!E42)</f>
        <v>4037</v>
      </c>
      <c r="F42" s="423">
        <f>SUM(SAV_BUMB!F42)</f>
        <v>28810</v>
      </c>
      <c r="G42" s="423">
        <f>SUM(SAV_BUMB!G42)</f>
        <v>88104</v>
      </c>
      <c r="H42" s="423">
        <f>SUM(SAV_BUMB!H42)</f>
        <v>21</v>
      </c>
      <c r="I42" s="423">
        <f>SUM(SAV_BUMB!I42)</f>
        <v>13</v>
      </c>
      <c r="J42" s="433">
        <f>SUM(SAV_BUMB!J42)</f>
        <v>13</v>
      </c>
    </row>
    <row r="43" spans="2:10" ht="14.25" customHeight="1" x14ac:dyDescent="0.2">
      <c r="B43" s="434" t="s">
        <v>22</v>
      </c>
      <c r="C43" s="434">
        <f>SUM(C38:C42)</f>
        <v>46</v>
      </c>
      <c r="D43" s="434">
        <f t="shared" ref="D43:J43" si="3">SUM(D38:D42)</f>
        <v>498929</v>
      </c>
      <c r="E43" s="434">
        <f t="shared" si="3"/>
        <v>14291</v>
      </c>
      <c r="F43" s="434">
        <f t="shared" si="3"/>
        <v>121594</v>
      </c>
      <c r="G43" s="434">
        <f t="shared" si="3"/>
        <v>224074</v>
      </c>
      <c r="H43" s="434">
        <f t="shared" si="3"/>
        <v>62</v>
      </c>
      <c r="I43" s="434">
        <f t="shared" si="3"/>
        <v>45</v>
      </c>
      <c r="J43" s="434">
        <f t="shared" si="3"/>
        <v>45</v>
      </c>
    </row>
    <row r="44" spans="2:10" x14ac:dyDescent="0.2">
      <c r="B44" s="428" t="s">
        <v>154</v>
      </c>
      <c r="C44" s="423"/>
      <c r="D44" s="423"/>
      <c r="E44" s="423"/>
      <c r="F44" s="423"/>
      <c r="G44" s="423"/>
      <c r="H44" s="423"/>
      <c r="I44" s="423"/>
      <c r="J44" s="429"/>
    </row>
    <row r="45" spans="2:10" x14ac:dyDescent="0.2">
      <c r="B45" s="430" t="s">
        <v>194</v>
      </c>
      <c r="C45" s="423">
        <f>SUM(SAV_BUMB!C45)</f>
        <v>5</v>
      </c>
      <c r="D45" s="423">
        <f>SUM(SAV_BUMB!D45)</f>
        <v>120256</v>
      </c>
      <c r="E45" s="423">
        <f>SUM(SAV_BUMB!E45)</f>
        <v>2280</v>
      </c>
      <c r="F45" s="423">
        <f>SUM(SAV_BUMB!F45)</f>
        <v>19517</v>
      </c>
      <c r="G45" s="423">
        <f>SUM(SAV_BUMB!G45)</f>
        <v>20693</v>
      </c>
      <c r="H45" s="423">
        <f>SUM(SAV_BUMB!H45)</f>
        <v>10</v>
      </c>
      <c r="I45" s="423">
        <f>SUM(SAV_BUMB!I45)</f>
        <v>5</v>
      </c>
      <c r="J45" s="431">
        <f>SUM(SAV_BUMB!J45)</f>
        <v>5</v>
      </c>
    </row>
    <row r="46" spans="2:10" x14ac:dyDescent="0.2">
      <c r="B46" s="430" t="s">
        <v>195</v>
      </c>
      <c r="C46" s="423">
        <f>SUM(SAV_BUMB!C46)</f>
        <v>4</v>
      </c>
      <c r="D46" s="423">
        <f>SUM(SAV_BUMB!D46)</f>
        <v>39045</v>
      </c>
      <c r="E46" s="423">
        <f>SUM(SAV_BUMB!E46)</f>
        <v>1297</v>
      </c>
      <c r="F46" s="423">
        <f>SUM(SAV_BUMB!F46)</f>
        <v>14209</v>
      </c>
      <c r="G46" s="423">
        <f>SUM(SAV_BUMB!G46)</f>
        <v>11728</v>
      </c>
      <c r="H46" s="423">
        <f>SUM(SAV_BUMB!H46)</f>
        <v>6</v>
      </c>
      <c r="I46" s="423">
        <f>SUM(SAV_BUMB!I46)</f>
        <v>4</v>
      </c>
      <c r="J46" s="431">
        <f>SUM(SAV_BUMB!J46)</f>
        <v>4</v>
      </c>
    </row>
    <row r="47" spans="2:10" x14ac:dyDescent="0.2">
      <c r="B47" s="430" t="s">
        <v>102</v>
      </c>
      <c r="C47" s="423">
        <f>SUM(SAV_BUMB!C47, VALST_BUMB!C47,NEVALST_BUMB!C40)</f>
        <v>22</v>
      </c>
      <c r="D47" s="423">
        <f>SUM(SAV_BUMB!D47, VALST_BUMB!D47,NEVALST_BUMB!D40)</f>
        <v>252437</v>
      </c>
      <c r="E47" s="423">
        <f>SUM(SAV_BUMB!E47, VALST_BUMB!E47,NEVALST_BUMB!E40)</f>
        <v>10226</v>
      </c>
      <c r="F47" s="423">
        <f>SUM(SAV_BUMB!F47, VALST_BUMB!F47,NEVALST_BUMB!F40)</f>
        <v>107301</v>
      </c>
      <c r="G47" s="423">
        <f>SUM(SAV_BUMB!G47, VALST_BUMB!G47,NEVALST_BUMB!G40)</f>
        <v>181474</v>
      </c>
      <c r="H47" s="423">
        <f>SUM(SAV_BUMB!H47, VALST_BUMB!H47,NEVALST_BUMB!H40)</f>
        <v>35</v>
      </c>
      <c r="I47" s="423">
        <f>SUM(SAV_BUMB!I47, VALST_BUMB!I47,NEVALST_BUMB!I40)</f>
        <v>22</v>
      </c>
      <c r="J47" s="431">
        <f>SUM(SAV_BUMB!J47, VALST_BUMB!J47,NEVALST_BUMB!J40)</f>
        <v>22</v>
      </c>
    </row>
    <row r="48" spans="2:10" x14ac:dyDescent="0.2">
      <c r="B48" s="430" t="s">
        <v>196</v>
      </c>
      <c r="C48" s="423">
        <f>SUM(SAV_BUMB!C48)</f>
        <v>12</v>
      </c>
      <c r="D48" s="423">
        <f>SUM(SAV_BUMB!D48)</f>
        <v>125552</v>
      </c>
      <c r="E48" s="423">
        <f>SUM(SAV_BUMB!E48)</f>
        <v>2559</v>
      </c>
      <c r="F48" s="423">
        <f>SUM(SAV_BUMB!F48)</f>
        <v>34747</v>
      </c>
      <c r="G48" s="423">
        <f>SUM(SAV_BUMB!G48)</f>
        <v>29659</v>
      </c>
      <c r="H48" s="423">
        <f>SUM(SAV_BUMB!H48)</f>
        <v>15</v>
      </c>
      <c r="I48" s="423">
        <f>SUM(SAV_BUMB!I48)</f>
        <v>10</v>
      </c>
      <c r="J48" s="431">
        <f>SUM(SAV_BUMB!J48)</f>
        <v>10</v>
      </c>
    </row>
    <row r="49" spans="2:10" x14ac:dyDescent="0.2">
      <c r="B49" s="430" t="s">
        <v>197</v>
      </c>
      <c r="C49" s="423">
        <f>SUM(SAV_BUMB!C49)</f>
        <v>9</v>
      </c>
      <c r="D49" s="423">
        <f>SUM(SAV_BUMB!D49)</f>
        <v>118732</v>
      </c>
      <c r="E49" s="423">
        <f>SUM(SAV_BUMB!E49)</f>
        <v>2393</v>
      </c>
      <c r="F49" s="423">
        <f>SUM(SAV_BUMB!F49)</f>
        <v>23171</v>
      </c>
      <c r="G49" s="423">
        <f>SUM(SAV_BUMB!G49)</f>
        <v>50628</v>
      </c>
      <c r="H49" s="423">
        <f>SUM(SAV_BUMB!H49)</f>
        <v>11</v>
      </c>
      <c r="I49" s="423">
        <f>SUM(SAV_BUMB!I49)</f>
        <v>9</v>
      </c>
      <c r="J49" s="431">
        <f>SUM(SAV_BUMB!J49)</f>
        <v>9</v>
      </c>
    </row>
    <row r="50" spans="2:10" x14ac:dyDescent="0.2">
      <c r="B50" s="430" t="s">
        <v>198</v>
      </c>
      <c r="C50" s="423">
        <f>SUM(SAV_BUMB!C50)</f>
        <v>8</v>
      </c>
      <c r="D50" s="423">
        <f>SUM(SAV_BUMB!D50)</f>
        <v>107337</v>
      </c>
      <c r="E50" s="423">
        <f>SUM(SAV_BUMB!E50)</f>
        <v>2357</v>
      </c>
      <c r="F50" s="423">
        <f>SUM(SAV_BUMB!F50)</f>
        <v>24170</v>
      </c>
      <c r="G50" s="423">
        <f>SUM(SAV_BUMB!G50)</f>
        <v>25062</v>
      </c>
      <c r="H50" s="423">
        <f>SUM(SAV_BUMB!H50)</f>
        <v>12</v>
      </c>
      <c r="I50" s="423">
        <f>SUM(SAV_BUMB!I50)</f>
        <v>8</v>
      </c>
      <c r="J50" s="433">
        <f>SUM(SAV_BUMB!J50)</f>
        <v>8</v>
      </c>
    </row>
    <row r="51" spans="2:10" ht="15.75" customHeight="1" x14ac:dyDescent="0.2">
      <c r="B51" s="434" t="s">
        <v>22</v>
      </c>
      <c r="C51" s="434">
        <f>SUM(C45:C50)</f>
        <v>60</v>
      </c>
      <c r="D51" s="434">
        <f t="shared" ref="D51:J51" si="4">SUM(D45:D50)</f>
        <v>763359</v>
      </c>
      <c r="E51" s="434">
        <f t="shared" si="4"/>
        <v>21112</v>
      </c>
      <c r="F51" s="434">
        <f t="shared" si="4"/>
        <v>223115</v>
      </c>
      <c r="G51" s="434">
        <f t="shared" si="4"/>
        <v>319244</v>
      </c>
      <c r="H51" s="434">
        <f t="shared" si="4"/>
        <v>89</v>
      </c>
      <c r="I51" s="434">
        <f t="shared" si="4"/>
        <v>58</v>
      </c>
      <c r="J51" s="434">
        <f t="shared" si="4"/>
        <v>58</v>
      </c>
    </row>
    <row r="52" spans="2:10" x14ac:dyDescent="0.2">
      <c r="B52" s="423"/>
      <c r="C52" s="423"/>
      <c r="D52" s="423"/>
      <c r="E52" s="423"/>
      <c r="F52" s="423"/>
      <c r="G52" s="423"/>
      <c r="H52" s="423"/>
      <c r="I52" s="423"/>
      <c r="J52" s="423"/>
    </row>
    <row r="53" spans="2:10" x14ac:dyDescent="0.2">
      <c r="B53" s="423"/>
      <c r="C53" s="423"/>
      <c r="D53" s="423"/>
      <c r="E53" s="423"/>
      <c r="F53" s="423"/>
      <c r="G53" s="423"/>
      <c r="H53" s="423"/>
      <c r="I53" s="423"/>
      <c r="J53" s="423"/>
    </row>
    <row r="54" spans="2:10" x14ac:dyDescent="0.2">
      <c r="B54" s="423"/>
      <c r="C54" s="423"/>
      <c r="D54" s="423"/>
      <c r="E54" s="423"/>
      <c r="F54" s="423"/>
      <c r="G54" s="423"/>
      <c r="H54" s="423"/>
      <c r="I54" s="423"/>
      <c r="J54" s="423"/>
    </row>
    <row r="55" spans="2:10" x14ac:dyDescent="0.2">
      <c r="B55" s="423"/>
      <c r="C55" s="423"/>
      <c r="D55" s="423"/>
      <c r="E55" s="423"/>
      <c r="F55" s="423"/>
      <c r="G55" s="423"/>
      <c r="H55" s="423"/>
      <c r="I55" s="423"/>
      <c r="J55" s="423"/>
    </row>
    <row r="56" spans="2:10" x14ac:dyDescent="0.2">
      <c r="B56" s="423"/>
      <c r="C56" s="423"/>
      <c r="D56" s="423"/>
      <c r="E56" s="423"/>
      <c r="F56" s="423"/>
      <c r="G56" s="423"/>
      <c r="H56" s="423"/>
      <c r="I56" s="423"/>
      <c r="J56" s="423"/>
    </row>
    <row r="57" spans="2:10" ht="12.75" customHeight="1" x14ac:dyDescent="0.2">
      <c r="B57" s="423"/>
      <c r="C57" s="423"/>
      <c r="D57" s="423"/>
      <c r="E57" s="423"/>
      <c r="F57" s="423"/>
      <c r="G57" s="423"/>
      <c r="H57" s="423"/>
      <c r="I57" s="423"/>
      <c r="J57" s="423"/>
    </row>
    <row r="58" spans="2:10" ht="12.75" customHeight="1" x14ac:dyDescent="0.2">
      <c r="B58" s="423"/>
      <c r="C58" s="42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2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23"/>
      <c r="D60" s="423"/>
      <c r="E60" s="423"/>
      <c r="F60" s="423"/>
      <c r="G60" s="423"/>
      <c r="H60" s="423"/>
      <c r="I60" s="423"/>
      <c r="J60" s="423"/>
    </row>
    <row r="61" spans="2:10" x14ac:dyDescent="0.2">
      <c r="B61" s="423"/>
      <c r="C61" s="423"/>
      <c r="D61" s="423"/>
      <c r="E61" s="423"/>
      <c r="F61" s="423"/>
      <c r="G61" s="423"/>
      <c r="H61" s="423"/>
      <c r="I61" s="423"/>
      <c r="J61" s="423"/>
    </row>
    <row r="62" spans="2:10" x14ac:dyDescent="0.2">
      <c r="B62" s="423"/>
      <c r="C62" s="423"/>
      <c r="D62" s="423"/>
      <c r="E62" s="423"/>
      <c r="F62" s="423"/>
      <c r="G62" s="423"/>
      <c r="H62" s="423"/>
      <c r="I62" s="423"/>
      <c r="J62" s="423"/>
    </row>
    <row r="63" spans="2:10" x14ac:dyDescent="0.2">
      <c r="B63" s="423"/>
      <c r="C63" s="423"/>
      <c r="D63" s="423"/>
      <c r="E63" s="423"/>
      <c r="F63" s="423"/>
      <c r="G63" s="423"/>
      <c r="H63" s="423"/>
      <c r="I63" s="423"/>
      <c r="J63" s="423"/>
    </row>
    <row r="64" spans="2:10" x14ac:dyDescent="0.2">
      <c r="B64" s="423"/>
      <c r="C64" s="423"/>
      <c r="D64" s="423"/>
      <c r="E64" s="423"/>
      <c r="F64" s="423"/>
      <c r="G64" s="423"/>
      <c r="H64" s="423"/>
      <c r="I64" s="423"/>
      <c r="J64" s="423"/>
    </row>
    <row r="65" spans="2:12" x14ac:dyDescent="0.2">
      <c r="B65" s="423"/>
      <c r="C65" s="423"/>
      <c r="D65" s="423"/>
      <c r="E65" s="423"/>
      <c r="F65" s="423"/>
      <c r="G65" s="423"/>
      <c r="H65" s="423"/>
      <c r="I65" s="423"/>
      <c r="J65" s="423"/>
    </row>
    <row r="66" spans="2:12" ht="16.5" customHeight="1" x14ac:dyDescent="0.2">
      <c r="B66" s="423"/>
      <c r="C66" s="423"/>
      <c r="D66" s="423"/>
      <c r="E66" s="423"/>
      <c r="F66" s="423"/>
      <c r="G66" s="423"/>
      <c r="H66" s="423"/>
      <c r="I66" s="423"/>
      <c r="J66" s="423"/>
    </row>
    <row r="67" spans="2:12" x14ac:dyDescent="0.2">
      <c r="B67" s="423"/>
      <c r="C67" s="423"/>
      <c r="D67" s="423"/>
      <c r="E67" s="423"/>
      <c r="F67" s="423"/>
      <c r="G67" s="423"/>
      <c r="H67" s="423"/>
      <c r="I67" s="423"/>
      <c r="J67" s="423"/>
    </row>
    <row r="68" spans="2:12" x14ac:dyDescent="0.2">
      <c r="B68" s="423"/>
      <c r="C68" s="423"/>
      <c r="D68" s="423"/>
      <c r="E68" s="423"/>
      <c r="F68" s="423"/>
      <c r="G68" s="423"/>
      <c r="H68" s="423"/>
      <c r="I68" s="423"/>
      <c r="J68" s="423"/>
    </row>
    <row r="69" spans="2:12" x14ac:dyDescent="0.2">
      <c r="B69" s="423"/>
      <c r="C69" s="423"/>
      <c r="D69" s="423"/>
      <c r="E69" s="423"/>
      <c r="F69" s="423"/>
      <c r="G69" s="423"/>
      <c r="H69" s="423"/>
      <c r="I69" s="423"/>
      <c r="J69" s="423"/>
    </row>
    <row r="70" spans="2:12" x14ac:dyDescent="0.2">
      <c r="B70" s="423"/>
      <c r="C70" s="423"/>
      <c r="D70" s="423"/>
      <c r="E70" s="423"/>
      <c r="F70" s="423"/>
      <c r="G70" s="423"/>
      <c r="H70" s="423"/>
      <c r="I70" s="423"/>
      <c r="J70" s="423"/>
    </row>
    <row r="71" spans="2:12" x14ac:dyDescent="0.2">
      <c r="B71" s="443"/>
      <c r="C71" s="423"/>
      <c r="D71" s="423"/>
      <c r="E71" s="423"/>
      <c r="F71" s="423"/>
      <c r="G71" s="423"/>
      <c r="H71" s="423"/>
      <c r="I71" s="423"/>
      <c r="J71" s="423"/>
    </row>
    <row r="72" spans="2:12" s="425" customFormat="1" ht="11.25" x14ac:dyDescent="0.2">
      <c r="B72" s="968" t="s">
        <v>84</v>
      </c>
      <c r="C72" s="968" t="s">
        <v>85</v>
      </c>
      <c r="D72" s="968" t="s">
        <v>67</v>
      </c>
      <c r="E72" s="968" t="s">
        <v>68</v>
      </c>
      <c r="F72" s="968" t="s">
        <v>69</v>
      </c>
      <c r="G72" s="968" t="s">
        <v>70</v>
      </c>
      <c r="H72" s="968" t="s">
        <v>222</v>
      </c>
      <c r="I72" s="1001" t="s">
        <v>223</v>
      </c>
      <c r="J72" s="1002"/>
      <c r="K72" s="424"/>
      <c r="L72" s="424"/>
    </row>
    <row r="73" spans="2:12" s="425" customFormat="1" ht="11.25" x14ac:dyDescent="0.2">
      <c r="B73" s="969"/>
      <c r="C73" s="969"/>
      <c r="D73" s="969"/>
      <c r="E73" s="969"/>
      <c r="F73" s="969"/>
      <c r="G73" s="969"/>
      <c r="H73" s="969"/>
      <c r="I73" s="1003"/>
      <c r="J73" s="1004"/>
      <c r="K73" s="424"/>
      <c r="L73" s="424"/>
    </row>
    <row r="74" spans="2:12" s="425" customFormat="1" ht="11.25" x14ac:dyDescent="0.2">
      <c r="B74" s="970"/>
      <c r="C74" s="970"/>
      <c r="D74" s="970"/>
      <c r="E74" s="970"/>
      <c r="F74" s="970"/>
      <c r="G74" s="970"/>
      <c r="H74" s="970"/>
      <c r="I74" s="426" t="s">
        <v>73</v>
      </c>
      <c r="J74" s="427" t="s">
        <v>86</v>
      </c>
      <c r="K74" s="424"/>
      <c r="L74" s="424"/>
    </row>
    <row r="75" spans="2:12" x14ac:dyDescent="0.2">
      <c r="B75" s="445">
        <v>1</v>
      </c>
      <c r="C75" s="436">
        <v>2</v>
      </c>
      <c r="D75" s="446">
        <v>3</v>
      </c>
      <c r="E75" s="436">
        <v>4</v>
      </c>
      <c r="F75" s="436">
        <v>5</v>
      </c>
      <c r="G75" s="436">
        <v>6</v>
      </c>
      <c r="H75" s="436">
        <v>7</v>
      </c>
      <c r="I75" s="436">
        <v>8</v>
      </c>
      <c r="J75" s="436">
        <v>9</v>
      </c>
      <c r="K75" s="437"/>
      <c r="L75" s="437"/>
    </row>
    <row r="76" spans="2:12" x14ac:dyDescent="0.2">
      <c r="B76" s="428" t="s">
        <v>155</v>
      </c>
      <c r="C76" s="423"/>
      <c r="D76" s="423"/>
      <c r="E76" s="423"/>
      <c r="F76" s="423"/>
      <c r="G76" s="423"/>
      <c r="H76" s="423"/>
      <c r="I76" s="423"/>
      <c r="J76" s="429"/>
      <c r="K76" s="437"/>
      <c r="L76" s="437"/>
    </row>
    <row r="77" spans="2:12" x14ac:dyDescent="0.2">
      <c r="B77" s="430" t="s">
        <v>199</v>
      </c>
      <c r="C77" s="423">
        <f>SUM(SAV_BUMB!C72)</f>
        <v>8</v>
      </c>
      <c r="D77" s="423">
        <f>SUM(SAV_BUMB!D72)</f>
        <v>92842</v>
      </c>
      <c r="E77" s="423">
        <f>SUM(SAV_BUMB!E72)</f>
        <v>2153</v>
      </c>
      <c r="F77" s="423">
        <f>SUM(SAV_BUMB!F72)</f>
        <v>12802</v>
      </c>
      <c r="G77" s="423">
        <f>SUM(SAV_BUMB!G72)</f>
        <v>25677</v>
      </c>
      <c r="H77" s="423">
        <f>SUM(SAV_BUMB!H72)</f>
        <v>9</v>
      </c>
      <c r="I77" s="423">
        <f>SUM(SAV_BUMB!I72)</f>
        <v>7</v>
      </c>
      <c r="J77" s="431">
        <f>SUM(SAV_BUMB!J72)</f>
        <v>7</v>
      </c>
      <c r="K77" s="437"/>
      <c r="L77" s="437"/>
    </row>
    <row r="78" spans="2:12" x14ac:dyDescent="0.2">
      <c r="B78" s="430" t="s">
        <v>200</v>
      </c>
      <c r="C78" s="423">
        <f>SUM(SAV_BUMB!C73)</f>
        <v>7</v>
      </c>
      <c r="D78" s="423">
        <f>SUM(SAV_BUMB!D73)</f>
        <v>83940</v>
      </c>
      <c r="E78" s="423">
        <f>SUM(SAV_BUMB!E73)</f>
        <v>1874</v>
      </c>
      <c r="F78" s="423">
        <f>SUM(SAV_BUMB!F73)</f>
        <v>10975</v>
      </c>
      <c r="G78" s="423">
        <f>SUM(SAV_BUMB!G73)</f>
        <v>9637</v>
      </c>
      <c r="H78" s="423">
        <f>SUM(SAV_BUMB!H73)</f>
        <v>8</v>
      </c>
      <c r="I78" s="423">
        <f>SUM(SAV_BUMB!I73)</f>
        <v>7</v>
      </c>
      <c r="J78" s="431">
        <f>SUM(SAV_BUMB!J73)</f>
        <v>7</v>
      </c>
      <c r="K78" s="437"/>
      <c r="L78" s="437"/>
    </row>
    <row r="79" spans="2:12" x14ac:dyDescent="0.2">
      <c r="B79" s="430" t="s">
        <v>201</v>
      </c>
      <c r="C79" s="423">
        <f>SUM(SAV_BUMB!C74)</f>
        <v>8</v>
      </c>
      <c r="D79" s="423">
        <f>SUM(SAV_BUMB!D74)</f>
        <v>93879</v>
      </c>
      <c r="E79" s="423">
        <f>SUM(SAV_BUMB!E74)</f>
        <v>1857</v>
      </c>
      <c r="F79" s="423">
        <f>SUM(SAV_BUMB!F74)</f>
        <v>15603</v>
      </c>
      <c r="G79" s="423">
        <f>SUM(SAV_BUMB!G74)</f>
        <v>24690</v>
      </c>
      <c r="H79" s="423">
        <f>SUM(SAV_BUMB!H74)</f>
        <v>11</v>
      </c>
      <c r="I79" s="423">
        <f>SUM(SAV_BUMB!I74)</f>
        <v>8</v>
      </c>
      <c r="J79" s="431">
        <f>SUM(SAV_BUMB!J74)</f>
        <v>8</v>
      </c>
      <c r="K79" s="437"/>
      <c r="L79" s="437"/>
    </row>
    <row r="80" spans="2:12" x14ac:dyDescent="0.2">
      <c r="B80" s="430" t="s">
        <v>202</v>
      </c>
      <c r="C80" s="423">
        <f>SUM(SAV_BUMB!C75)</f>
        <v>8</v>
      </c>
      <c r="D80" s="423">
        <f>SUM(SAV_BUMB!D75)</f>
        <v>74881</v>
      </c>
      <c r="E80" s="423">
        <f>SUM(SAV_BUMB!E75)</f>
        <v>1402</v>
      </c>
      <c r="F80" s="423">
        <f>SUM(SAV_BUMB!F75)</f>
        <v>13752</v>
      </c>
      <c r="G80" s="423">
        <f>SUM(SAV_BUMB!G75)</f>
        <v>28301</v>
      </c>
      <c r="H80" s="423">
        <f>SUM(SAV_BUMB!H75)</f>
        <v>8</v>
      </c>
      <c r="I80" s="423">
        <f>SUM(SAV_BUMB!I75)</f>
        <v>8</v>
      </c>
      <c r="J80" s="431">
        <f>SUM(SAV_BUMB!J75)</f>
        <v>8</v>
      </c>
      <c r="K80" s="437"/>
      <c r="L80" s="437"/>
    </row>
    <row r="81" spans="2:12" x14ac:dyDescent="0.2">
      <c r="B81" s="430" t="s">
        <v>203</v>
      </c>
      <c r="C81" s="423">
        <f>SUM(SAV_BUMB!C76)</f>
        <v>11</v>
      </c>
      <c r="D81" s="423">
        <f>SUM(SAV_BUMB!D76)</f>
        <v>111233</v>
      </c>
      <c r="E81" s="423">
        <f>SUM(SAV_BUMB!E76)</f>
        <v>3745</v>
      </c>
      <c r="F81" s="423">
        <f>SUM(SAV_BUMB!F76)</f>
        <v>44579</v>
      </c>
      <c r="G81" s="423">
        <f>SUM(SAV_BUMB!G76)</f>
        <v>78734</v>
      </c>
      <c r="H81" s="423">
        <f>SUM(SAV_BUMB!H76)</f>
        <v>13</v>
      </c>
      <c r="I81" s="423">
        <f>SUM(SAV_BUMB!I76)</f>
        <v>11</v>
      </c>
      <c r="J81" s="431">
        <f>SUM(SAV_BUMB!J76)</f>
        <v>11</v>
      </c>
      <c r="K81" s="437"/>
      <c r="L81" s="437"/>
    </row>
    <row r="82" spans="2:12" x14ac:dyDescent="0.2">
      <c r="B82" s="430" t="s">
        <v>104</v>
      </c>
      <c r="C82" s="423">
        <f>SUM(SAV_BUMB!C77, VALST_BUMB!C77)</f>
        <v>30</v>
      </c>
      <c r="D82" s="423">
        <f>SUM(SAV_BUMB!D77, VALST_BUMB!D77)</f>
        <v>299777</v>
      </c>
      <c r="E82" s="423">
        <f>SUM(SAV_BUMB!E77, VALST_BUMB!E77)</f>
        <v>13979</v>
      </c>
      <c r="F82" s="423">
        <f>SUM(SAV_BUMB!F77, VALST_BUMB!F77)</f>
        <v>127850</v>
      </c>
      <c r="G82" s="423">
        <f>SUM(SAV_BUMB!G77, VALST_BUMB!G77)</f>
        <v>124552</v>
      </c>
      <c r="H82" s="423">
        <f>SUM(SAV_BUMB!H77, VALST_BUMB!H77)</f>
        <v>37</v>
      </c>
      <c r="I82" s="423">
        <f>SUM(SAV_BUMB!I77, VALST_BUMB!I77)</f>
        <v>30</v>
      </c>
      <c r="J82" s="431">
        <f>SUM(SAV_BUMB!J77, VALST_BUMB!J77)</f>
        <v>30</v>
      </c>
      <c r="K82" s="437"/>
      <c r="L82" s="437"/>
    </row>
    <row r="83" spans="2:12" x14ac:dyDescent="0.2">
      <c r="B83" s="430" t="s">
        <v>204</v>
      </c>
      <c r="C83" s="161">
        <f>SUM(SAV_BUMB!C78)</f>
        <v>11</v>
      </c>
      <c r="D83" s="161">
        <f>SUM(SAV_BUMB!D78)</f>
        <v>66209</v>
      </c>
      <c r="E83" s="161">
        <f>SUM(SAV_BUMB!E78)</f>
        <v>3120</v>
      </c>
      <c r="F83" s="161">
        <f>SUM(SAV_BUMB!F78)</f>
        <v>14674</v>
      </c>
      <c r="G83" s="161">
        <f>SUM(SAV_BUMB!G78)</f>
        <v>10021</v>
      </c>
      <c r="H83" s="161">
        <f>SUM(SAV_BUMB!H78)</f>
        <v>14</v>
      </c>
      <c r="I83" s="161">
        <f>SUM(SAV_BUMB!I78)</f>
        <v>11</v>
      </c>
      <c r="J83" s="433">
        <f>SUM(SAV_BUMB!J78)</f>
        <v>11</v>
      </c>
      <c r="K83" s="437"/>
      <c r="L83" s="437"/>
    </row>
    <row r="84" spans="2:12" ht="15" customHeight="1" x14ac:dyDescent="0.2">
      <c r="B84" s="434" t="s">
        <v>22</v>
      </c>
      <c r="C84" s="434">
        <f>SUM(C77:C83)</f>
        <v>83</v>
      </c>
      <c r="D84" s="434">
        <f>SUM(D77:D83)</f>
        <v>822761</v>
      </c>
      <c r="E84" s="434">
        <f t="shared" ref="E84:J84" si="5">SUM(E77:E83)</f>
        <v>28130</v>
      </c>
      <c r="F84" s="434">
        <f t="shared" si="5"/>
        <v>240235</v>
      </c>
      <c r="G84" s="434">
        <f t="shared" si="5"/>
        <v>301612</v>
      </c>
      <c r="H84" s="434">
        <f t="shared" si="5"/>
        <v>100</v>
      </c>
      <c r="I84" s="434">
        <f t="shared" si="5"/>
        <v>82</v>
      </c>
      <c r="J84" s="434">
        <f t="shared" si="5"/>
        <v>82</v>
      </c>
      <c r="K84" s="437"/>
      <c r="L84" s="437"/>
    </row>
    <row r="85" spans="2:12" x14ac:dyDescent="0.2">
      <c r="B85" s="428" t="s">
        <v>156</v>
      </c>
      <c r="C85" s="423"/>
      <c r="D85" s="423"/>
      <c r="E85" s="423"/>
      <c r="F85" s="423"/>
      <c r="G85" s="423"/>
      <c r="H85" s="423"/>
      <c r="I85" s="423"/>
      <c r="J85" s="429"/>
    </row>
    <row r="86" spans="2:12" x14ac:dyDescent="0.2">
      <c r="B86" s="430" t="s">
        <v>205</v>
      </c>
      <c r="C86" s="423">
        <f>SUM(SAV_BUMB!C81)</f>
        <v>12</v>
      </c>
      <c r="D86" s="423">
        <f>SUM(SAV_BUMB!D81)</f>
        <v>102992</v>
      </c>
      <c r="E86" s="423">
        <f>SUM(SAV_BUMB!E81)</f>
        <v>2481</v>
      </c>
      <c r="F86" s="423">
        <f>SUM(SAV_BUMB!F81)</f>
        <v>24092</v>
      </c>
      <c r="G86" s="423">
        <f>SUM(SAV_BUMB!G81)</f>
        <v>58410</v>
      </c>
      <c r="H86" s="423">
        <f>SUM(SAV_BUMB!H81)</f>
        <v>13</v>
      </c>
      <c r="I86" s="423">
        <f>SUM(SAV_BUMB!I81)</f>
        <v>9</v>
      </c>
      <c r="J86" s="431">
        <f>SUM(SAV_BUMB!J81)</f>
        <v>9</v>
      </c>
    </row>
    <row r="87" spans="2:12" x14ac:dyDescent="0.2">
      <c r="B87" s="430" t="s">
        <v>106</v>
      </c>
      <c r="C87" s="423">
        <f>SUM(SAV_BUMB!C82)</f>
        <v>2</v>
      </c>
      <c r="D87" s="423">
        <f>SUM(SAV_BUMB!D82)</f>
        <v>20372</v>
      </c>
      <c r="E87" s="423">
        <f>SUM(SAV_BUMB!E82)</f>
        <v>833</v>
      </c>
      <c r="F87" s="423">
        <f>SUM(SAV_BUMB!F82)</f>
        <v>8694</v>
      </c>
      <c r="G87" s="423">
        <f>SUM(SAV_BUMB!G82)</f>
        <v>12155</v>
      </c>
      <c r="H87" s="423">
        <f>SUM(SAV_BUMB!H82)</f>
        <v>2</v>
      </c>
      <c r="I87" s="423">
        <f>SUM(SAV_BUMB!I82)</f>
        <v>2</v>
      </c>
      <c r="J87" s="431">
        <f>SUM(SAV_BUMB!J82)</f>
        <v>2</v>
      </c>
    </row>
    <row r="88" spans="2:12" x14ac:dyDescent="0.2">
      <c r="B88" s="430" t="s">
        <v>206</v>
      </c>
      <c r="C88" s="423">
        <f>SUM(SAV_BUMB!C83)</f>
        <v>7</v>
      </c>
      <c r="D88" s="423">
        <f>SUM(SAV_BUMB!D83)</f>
        <v>102651</v>
      </c>
      <c r="E88" s="423">
        <f>SUM(SAV_BUMB!E83)</f>
        <v>2502</v>
      </c>
      <c r="F88" s="423">
        <f>SUM(SAV_BUMB!F83)</f>
        <v>69753</v>
      </c>
      <c r="G88" s="423">
        <f>SUM(SAV_BUMB!G83)</f>
        <v>71691</v>
      </c>
      <c r="H88" s="423">
        <f>SUM(SAV_BUMB!H83)</f>
        <v>6</v>
      </c>
      <c r="I88" s="423">
        <f>SUM(SAV_BUMB!I83)</f>
        <v>7</v>
      </c>
      <c r="J88" s="431">
        <f>SUM(SAV_BUMB!J83)</f>
        <v>7</v>
      </c>
    </row>
    <row r="89" spans="2:12" x14ac:dyDescent="0.2">
      <c r="B89" s="430" t="s">
        <v>207</v>
      </c>
      <c r="C89" s="423">
        <f>SUM(SAV_BUMB!C84)</f>
        <v>9</v>
      </c>
      <c r="D89" s="423">
        <f>SUM(SAV_BUMB!D84)</f>
        <v>141525</v>
      </c>
      <c r="E89" s="423">
        <f>SUM(SAV_BUMB!E84)</f>
        <v>3644</v>
      </c>
      <c r="F89" s="423">
        <f>SUM(SAV_BUMB!F84)</f>
        <v>17615</v>
      </c>
      <c r="G89" s="423">
        <f>SUM(SAV_BUMB!G84)</f>
        <v>15431</v>
      </c>
      <c r="H89" s="423">
        <f>SUM(SAV_BUMB!H84)</f>
        <v>9</v>
      </c>
      <c r="I89" s="423">
        <f>SUM(SAV_BUMB!I84)</f>
        <v>9</v>
      </c>
      <c r="J89" s="433">
        <f>SUM(SAV_BUMB!J84)</f>
        <v>9</v>
      </c>
    </row>
    <row r="90" spans="2:12" ht="14.25" customHeight="1" x14ac:dyDescent="0.2">
      <c r="B90" s="434" t="s">
        <v>22</v>
      </c>
      <c r="C90" s="434">
        <f>SUM(C86:C89)</f>
        <v>30</v>
      </c>
      <c r="D90" s="434">
        <f>SUM(D86:D89)</f>
        <v>367540</v>
      </c>
      <c r="E90" s="434">
        <f t="shared" ref="E90:J90" si="6">SUM(E86:E89)</f>
        <v>9460</v>
      </c>
      <c r="F90" s="434">
        <f t="shared" si="6"/>
        <v>120154</v>
      </c>
      <c r="G90" s="434">
        <f t="shared" si="6"/>
        <v>157687</v>
      </c>
      <c r="H90" s="434">
        <f t="shared" si="6"/>
        <v>30</v>
      </c>
      <c r="I90" s="434">
        <f t="shared" si="6"/>
        <v>27</v>
      </c>
      <c r="J90" s="434">
        <f t="shared" si="6"/>
        <v>27</v>
      </c>
    </row>
    <row r="91" spans="2:12" x14ac:dyDescent="0.2">
      <c r="B91" s="428" t="s">
        <v>157</v>
      </c>
      <c r="C91" s="423"/>
      <c r="D91" s="423"/>
      <c r="E91" s="423"/>
      <c r="F91" s="423"/>
      <c r="G91" s="423"/>
      <c r="H91" s="423"/>
      <c r="I91" s="423"/>
      <c r="J91" s="429"/>
    </row>
    <row r="92" spans="2:12" x14ac:dyDescent="0.2">
      <c r="B92" s="430" t="s">
        <v>208</v>
      </c>
      <c r="C92" s="423">
        <f>SUM(SAV_BUMB!C87)</f>
        <v>17</v>
      </c>
      <c r="D92" s="423">
        <f>SUM(SAV_BUMB!D87)</f>
        <v>133204</v>
      </c>
      <c r="E92" s="423">
        <f>SUM(SAV_BUMB!E87)</f>
        <v>5704</v>
      </c>
      <c r="F92" s="423">
        <f>SUM(SAV_BUMB!F87)</f>
        <v>73853</v>
      </c>
      <c r="G92" s="423">
        <f>SUM(SAV_BUMB!G87)</f>
        <v>68025</v>
      </c>
      <c r="H92" s="423">
        <f>SUM(SAV_BUMB!H87)</f>
        <v>26</v>
      </c>
      <c r="I92" s="423">
        <f>SUM(SAV_BUMB!I87)</f>
        <v>17</v>
      </c>
      <c r="J92" s="431">
        <f>SUM(SAV_BUMB!J87)</f>
        <v>17</v>
      </c>
    </row>
    <row r="93" spans="2:12" x14ac:dyDescent="0.2">
      <c r="B93" s="430" t="s">
        <v>209</v>
      </c>
      <c r="C93" s="423">
        <f>SUM(SAV_BUMB!C88)</f>
        <v>10</v>
      </c>
      <c r="D93" s="423">
        <f>SUM(SAV_BUMB!D88)</f>
        <v>120806</v>
      </c>
      <c r="E93" s="423">
        <f>SUM(SAV_BUMB!E88)</f>
        <v>4026</v>
      </c>
      <c r="F93" s="423">
        <f>SUM(SAV_BUMB!F88)</f>
        <v>24888</v>
      </c>
      <c r="G93" s="423">
        <f>SUM(SAV_BUMB!G88)</f>
        <v>40689</v>
      </c>
      <c r="H93" s="423">
        <f>SUM(SAV_BUMB!H88)</f>
        <v>17</v>
      </c>
      <c r="I93" s="423">
        <f>SUM(SAV_BUMB!I88)</f>
        <v>10</v>
      </c>
      <c r="J93" s="431">
        <f>SUM(SAV_BUMB!J88)</f>
        <v>10</v>
      </c>
    </row>
    <row r="94" spans="2:12" x14ac:dyDescent="0.2">
      <c r="B94" s="430" t="s">
        <v>108</v>
      </c>
      <c r="C94" s="423">
        <f>SUM(SAV_BUMB!C89)</f>
        <v>2</v>
      </c>
      <c r="D94" s="423">
        <f>SUM(SAV_BUMB!D89)</f>
        <v>33220</v>
      </c>
      <c r="E94" s="423">
        <f>SUM(SAV_BUMB!E89)</f>
        <v>635</v>
      </c>
      <c r="F94" s="423">
        <f>SUM(SAV_BUMB!F89)</f>
        <v>3364</v>
      </c>
      <c r="G94" s="423">
        <f>SUM(SAV_BUMB!G89)</f>
        <v>3246</v>
      </c>
      <c r="H94" s="423">
        <f>SUM(SAV_BUMB!H89)</f>
        <v>3</v>
      </c>
      <c r="I94" s="423">
        <f>SUM(SAV_BUMB!I89)</f>
        <v>2</v>
      </c>
      <c r="J94" s="431">
        <f>SUM(SAV_BUMB!J89)</f>
        <v>2</v>
      </c>
    </row>
    <row r="95" spans="2:12" x14ac:dyDescent="0.2">
      <c r="B95" s="430" t="s">
        <v>210</v>
      </c>
      <c r="C95" s="423">
        <f>SUM(SAV_BUMB!C90)</f>
        <v>12</v>
      </c>
      <c r="D95" s="423">
        <f>SUM(SAV_BUMB!D90)</f>
        <v>127307</v>
      </c>
      <c r="E95" s="423">
        <f>SUM(SAV_BUMB!E90)</f>
        <v>3683</v>
      </c>
      <c r="F95" s="423">
        <f>SUM(SAV_BUMB!F90)</f>
        <v>35406</v>
      </c>
      <c r="G95" s="423">
        <f>SUM(SAV_BUMB!G90)</f>
        <v>42797</v>
      </c>
      <c r="H95" s="423">
        <f>SUM(SAV_BUMB!H90)</f>
        <v>13</v>
      </c>
      <c r="I95" s="423">
        <f>SUM(SAV_BUMB!I90)</f>
        <v>11</v>
      </c>
      <c r="J95" s="433">
        <f>SUM(SAV_BUMB!J90)</f>
        <v>11</v>
      </c>
    </row>
    <row r="96" spans="2:12" ht="14.25" customHeight="1" x14ac:dyDescent="0.2">
      <c r="B96" s="434" t="s">
        <v>22</v>
      </c>
      <c r="C96" s="434">
        <f>SUM(C92:C95)</f>
        <v>41</v>
      </c>
      <c r="D96" s="434">
        <f t="shared" ref="D96:J96" si="7">SUM(D92:D95)</f>
        <v>414537</v>
      </c>
      <c r="E96" s="434">
        <f t="shared" si="7"/>
        <v>14048</v>
      </c>
      <c r="F96" s="434">
        <f t="shared" si="7"/>
        <v>137511</v>
      </c>
      <c r="G96" s="434">
        <f t="shared" si="7"/>
        <v>154757</v>
      </c>
      <c r="H96" s="434">
        <f t="shared" si="7"/>
        <v>59</v>
      </c>
      <c r="I96" s="434">
        <f t="shared" si="7"/>
        <v>40</v>
      </c>
      <c r="J96" s="434">
        <f t="shared" si="7"/>
        <v>40</v>
      </c>
    </row>
    <row r="97" spans="2:14" x14ac:dyDescent="0.2">
      <c r="B97" s="428" t="s">
        <v>158</v>
      </c>
      <c r="C97" s="423"/>
      <c r="D97" s="423"/>
      <c r="E97" s="423"/>
      <c r="F97" s="423"/>
      <c r="G97" s="423"/>
      <c r="H97" s="423"/>
      <c r="I97" s="423"/>
      <c r="J97" s="429"/>
    </row>
    <row r="98" spans="2:14" x14ac:dyDescent="0.2">
      <c r="B98" s="430" t="s">
        <v>211</v>
      </c>
      <c r="C98" s="423">
        <f>SUM(SAV_BUMB!C93)</f>
        <v>6</v>
      </c>
      <c r="D98" s="423">
        <f>SUM(SAV_BUMB!D93)</f>
        <v>76700</v>
      </c>
      <c r="E98" s="423">
        <f>SUM(SAV_BUMB!E93)</f>
        <v>1871</v>
      </c>
      <c r="F98" s="423">
        <f>SUM(SAV_BUMB!F93)</f>
        <v>16351</v>
      </c>
      <c r="G98" s="423">
        <f>SUM(SAV_BUMB!G93)</f>
        <v>21714</v>
      </c>
      <c r="H98" s="423">
        <f>SUM(SAV_BUMB!H93)</f>
        <v>7</v>
      </c>
      <c r="I98" s="423">
        <f>SUM(SAV_BUMB!I93)</f>
        <v>6</v>
      </c>
      <c r="J98" s="431">
        <f>SUM(SAV_BUMB!J93)</f>
        <v>6</v>
      </c>
    </row>
    <row r="99" spans="2:14" x14ac:dyDescent="0.2">
      <c r="B99" s="430" t="s">
        <v>212</v>
      </c>
      <c r="C99" s="423">
        <f>SUM(SAV_BUMB!C94)</f>
        <v>3</v>
      </c>
      <c r="D99" s="423">
        <f>SUM(SAV_BUMB!D94)</f>
        <v>46849</v>
      </c>
      <c r="E99" s="423">
        <f>SUM(SAV_BUMB!E94)</f>
        <v>1134</v>
      </c>
      <c r="F99" s="423">
        <f>SUM(SAV_BUMB!F94)</f>
        <v>10663</v>
      </c>
      <c r="G99" s="423">
        <f>SUM(SAV_BUMB!G94)</f>
        <v>14479</v>
      </c>
      <c r="H99" s="423">
        <f>SUM(SAV_BUMB!H94)</f>
        <v>7</v>
      </c>
      <c r="I99" s="423">
        <f>SUM(SAV_BUMB!I94)</f>
        <v>3</v>
      </c>
      <c r="J99" s="431">
        <f>SUM(SAV_BUMB!J94)</f>
        <v>3</v>
      </c>
    </row>
    <row r="100" spans="2:14" x14ac:dyDescent="0.2">
      <c r="B100" s="430" t="s">
        <v>213</v>
      </c>
      <c r="C100" s="423">
        <f>SUM(SAV_BUMB!C95)</f>
        <v>4</v>
      </c>
      <c r="D100" s="423">
        <f>SUM(SAV_BUMB!D95)</f>
        <v>43553</v>
      </c>
      <c r="E100" s="423">
        <f>SUM(SAV_BUMB!E95)</f>
        <v>1199</v>
      </c>
      <c r="F100" s="423">
        <f>SUM(SAV_BUMB!F95)</f>
        <v>13429</v>
      </c>
      <c r="G100" s="423">
        <f>SUM(SAV_BUMB!G95)</f>
        <v>12682</v>
      </c>
      <c r="H100" s="423">
        <f>SUM(SAV_BUMB!H95)</f>
        <v>4</v>
      </c>
      <c r="I100" s="423">
        <f>SUM(SAV_BUMB!I95)</f>
        <v>4</v>
      </c>
      <c r="J100" s="431">
        <f>SUM(SAV_BUMB!J95)</f>
        <v>4</v>
      </c>
    </row>
    <row r="101" spans="2:14" x14ac:dyDescent="0.2">
      <c r="B101" s="430" t="s">
        <v>214</v>
      </c>
      <c r="C101" s="423">
        <f>SUM(SAV_BUMB!C96)</f>
        <v>6</v>
      </c>
      <c r="D101" s="423">
        <f>SUM(SAV_BUMB!D96)</f>
        <v>35739</v>
      </c>
      <c r="E101" s="423">
        <f>SUM(SAV_BUMB!E96)</f>
        <v>1862</v>
      </c>
      <c r="F101" s="423">
        <f>SUM(SAV_BUMB!F96)</f>
        <v>25026</v>
      </c>
      <c r="G101" s="423">
        <f>SUM(SAV_BUMB!G96)</f>
        <v>30066</v>
      </c>
      <c r="H101" s="423">
        <f>SUM(SAV_BUMB!H96)</f>
        <v>8</v>
      </c>
      <c r="I101" s="423">
        <f>SUM(SAV_BUMB!I96)</f>
        <v>6</v>
      </c>
      <c r="J101" s="431">
        <f>SUM(SAV_BUMB!J96)</f>
        <v>6</v>
      </c>
    </row>
    <row r="102" spans="2:14" x14ac:dyDescent="0.2">
      <c r="B102" s="430" t="s">
        <v>110</v>
      </c>
      <c r="C102" s="423">
        <f>SUM(SAV_BUMB!C97)</f>
        <v>5</v>
      </c>
      <c r="D102" s="423">
        <f>SUM(SAV_BUMB!D97)</f>
        <v>48459</v>
      </c>
      <c r="E102" s="423">
        <f>SUM(SAV_BUMB!E97)</f>
        <v>1741</v>
      </c>
      <c r="F102" s="423">
        <f>SUM(SAV_BUMB!F97)</f>
        <v>19182</v>
      </c>
      <c r="G102" s="423">
        <f>SUM(SAV_BUMB!G97)</f>
        <v>14872</v>
      </c>
      <c r="H102" s="423">
        <f>SUM(SAV_BUMB!H97)</f>
        <v>5</v>
      </c>
      <c r="I102" s="423">
        <f>SUM(SAV_BUMB!I97)</f>
        <v>5</v>
      </c>
      <c r="J102" s="431">
        <f>SUM(SAV_BUMB!J97)</f>
        <v>5</v>
      </c>
    </row>
    <row r="103" spans="2:14" x14ac:dyDescent="0.2">
      <c r="B103" s="430" t="s">
        <v>215</v>
      </c>
      <c r="C103" s="423">
        <f>SUM(SAV_BUMB!C98)</f>
        <v>5</v>
      </c>
      <c r="D103" s="423">
        <f>SUM(SAV_BUMB!D98)</f>
        <v>57688</v>
      </c>
      <c r="E103" s="423">
        <f>SUM(SAV_BUMB!E98)</f>
        <v>634</v>
      </c>
      <c r="F103" s="423">
        <f>SUM(SAV_BUMB!F98)</f>
        <v>2908</v>
      </c>
      <c r="G103" s="423">
        <f>SUM(SAV_BUMB!G98)</f>
        <v>3837</v>
      </c>
      <c r="H103" s="423">
        <f>SUM(SAV_BUMB!H98)</f>
        <v>5</v>
      </c>
      <c r="I103" s="423">
        <f>SUM(SAV_BUMB!I98)</f>
        <v>5</v>
      </c>
      <c r="J103" s="433">
        <f>SUM(SAV_BUMB!J98)</f>
        <v>5</v>
      </c>
    </row>
    <row r="104" spans="2:14" ht="14.25" customHeight="1" x14ac:dyDescent="0.2">
      <c r="B104" s="434" t="s">
        <v>22</v>
      </c>
      <c r="C104" s="434">
        <f>SUM(C98:C103)</f>
        <v>29</v>
      </c>
      <c r="D104" s="434">
        <f t="shared" ref="D104:J104" si="8">SUM(D98:D103)</f>
        <v>308988</v>
      </c>
      <c r="E104" s="434">
        <f t="shared" si="8"/>
        <v>8441</v>
      </c>
      <c r="F104" s="434">
        <f t="shared" si="8"/>
        <v>87559</v>
      </c>
      <c r="G104" s="434">
        <f t="shared" si="8"/>
        <v>97650</v>
      </c>
      <c r="H104" s="434">
        <f t="shared" si="8"/>
        <v>36</v>
      </c>
      <c r="I104" s="434">
        <f t="shared" si="8"/>
        <v>29</v>
      </c>
      <c r="J104" s="434">
        <f t="shared" si="8"/>
        <v>29</v>
      </c>
    </row>
    <row r="105" spans="2:14" x14ac:dyDescent="0.2">
      <c r="B105" s="428" t="s">
        <v>159</v>
      </c>
      <c r="C105" s="423"/>
      <c r="D105" s="423"/>
      <c r="E105" s="423"/>
      <c r="F105" s="423"/>
      <c r="G105" s="423"/>
      <c r="H105" s="423"/>
      <c r="I105" s="423"/>
      <c r="J105" s="429"/>
    </row>
    <row r="106" spans="2:14" ht="12.75" x14ac:dyDescent="0.2">
      <c r="B106" s="430" t="s">
        <v>112</v>
      </c>
      <c r="C106" s="423">
        <f>SUM(SAV_BUMB!C101)</f>
        <v>7</v>
      </c>
      <c r="D106" s="423">
        <f>SUM(SAV_BUMB!D101)</f>
        <v>71132</v>
      </c>
      <c r="E106" s="423">
        <f>SUM(SAV_BUMB!E101)</f>
        <v>2206</v>
      </c>
      <c r="F106" s="423">
        <f>SUM(SAV_BUMB!F101)</f>
        <v>15825</v>
      </c>
      <c r="G106" s="423">
        <f>SUM(SAV_BUMB!G101)</f>
        <v>24154</v>
      </c>
      <c r="H106" s="423">
        <f>SUM(SAV_BUMB!H101)</f>
        <v>14</v>
      </c>
      <c r="I106" s="423">
        <f>SUM(SAV_BUMB!I101)</f>
        <v>7</v>
      </c>
      <c r="J106" s="431">
        <f>SUM(SAV_BUMB!J101)</f>
        <v>7</v>
      </c>
      <c r="N106" s="376"/>
    </row>
    <row r="107" spans="2:14" ht="12.75" x14ac:dyDescent="0.2">
      <c r="B107" s="430" t="s">
        <v>216</v>
      </c>
      <c r="C107" s="423">
        <f>SUM(SAV_BUMB!C102, VALST_BUMB!C102)</f>
        <v>19</v>
      </c>
      <c r="D107" s="423">
        <f>SUM(SAV_BUMB!D102, VALST_BUMB!D102)</f>
        <v>113455</v>
      </c>
      <c r="E107" s="423">
        <f>SUM(SAV_BUMB!E102, VALST_BUMB!E102)</f>
        <v>3765</v>
      </c>
      <c r="F107" s="423">
        <f>SUM(SAV_BUMB!F102, VALST_BUMB!F102)</f>
        <v>51496</v>
      </c>
      <c r="G107" s="423">
        <f>SUM(SAV_BUMB!G102, VALST_BUMB!G102)</f>
        <v>62857</v>
      </c>
      <c r="H107" s="423">
        <f>SUM(SAV_BUMB!H102, VALST_BUMB!H102)</f>
        <v>19</v>
      </c>
      <c r="I107" s="423">
        <f>SUM(SAV_BUMB!I102, VALST_BUMB!I102)</f>
        <v>18</v>
      </c>
      <c r="J107" s="431">
        <f>SUM(SAV_BUMB!J102, VALST_BUMB!J102)</f>
        <v>18</v>
      </c>
      <c r="N107" s="376"/>
    </row>
    <row r="108" spans="2:14" ht="12.75" x14ac:dyDescent="0.2">
      <c r="B108" s="430" t="s">
        <v>217</v>
      </c>
      <c r="C108" s="423">
        <f>SUM(SAV_BUMB!C103)</f>
        <v>5</v>
      </c>
      <c r="D108" s="423">
        <f>SUM(SAV_BUMB!D103)</f>
        <v>32657</v>
      </c>
      <c r="E108" s="423">
        <f>SUM(SAV_BUMB!E103)</f>
        <v>1520</v>
      </c>
      <c r="F108" s="423">
        <f>SUM(SAV_BUMB!F103)</f>
        <v>27552</v>
      </c>
      <c r="G108" s="423">
        <f>SUM(SAV_BUMB!G103)</f>
        <v>21355</v>
      </c>
      <c r="H108" s="423">
        <f>SUM(SAV_BUMB!H103)</f>
        <v>4</v>
      </c>
      <c r="I108" s="423">
        <f>SUM(SAV_BUMB!I103)</f>
        <v>5</v>
      </c>
      <c r="J108" s="431">
        <f>SUM(SAV_BUMB!J103)</f>
        <v>5</v>
      </c>
      <c r="N108" s="376"/>
    </row>
    <row r="109" spans="2:14" ht="12.75" x14ac:dyDescent="0.2">
      <c r="B109" s="430" t="s">
        <v>218</v>
      </c>
      <c r="C109" s="423">
        <f>SUM(SAV_BUMB!C104)</f>
        <v>4</v>
      </c>
      <c r="D109" s="423">
        <f>SUM(SAV_BUMB!D104)</f>
        <v>82034</v>
      </c>
      <c r="E109" s="423">
        <f>SUM(SAV_BUMB!E104)</f>
        <v>2049</v>
      </c>
      <c r="F109" s="423">
        <f>SUM(SAV_BUMB!F104)</f>
        <v>21935</v>
      </c>
      <c r="G109" s="423">
        <f>SUM(SAV_BUMB!G104)</f>
        <v>24050</v>
      </c>
      <c r="H109" s="423">
        <f>SUM(SAV_BUMB!H104)</f>
        <v>7</v>
      </c>
      <c r="I109" s="423">
        <f>SUM(SAV_BUMB!I104)</f>
        <v>4</v>
      </c>
      <c r="J109" s="431">
        <f>SUM(SAV_BUMB!J104)</f>
        <v>4</v>
      </c>
      <c r="N109" s="376"/>
    </row>
    <row r="110" spans="2:14" x14ac:dyDescent="0.2">
      <c r="B110" s="430" t="s">
        <v>219</v>
      </c>
      <c r="C110" s="423">
        <f>SUM(SAV_BUMB!C105)</f>
        <v>16</v>
      </c>
      <c r="D110" s="423">
        <f>SUM(SAV_BUMB!D105)</f>
        <v>132677</v>
      </c>
      <c r="E110" s="423">
        <f>SUM(SAV_BUMB!E105)</f>
        <v>3233</v>
      </c>
      <c r="F110" s="423">
        <f>SUM(SAV_BUMB!F105)</f>
        <v>25478</v>
      </c>
      <c r="G110" s="423">
        <f>SUM(SAV_BUMB!G105)</f>
        <v>42854</v>
      </c>
      <c r="H110" s="423">
        <f>SUM(SAV_BUMB!H105)</f>
        <v>20</v>
      </c>
      <c r="I110" s="423">
        <f>SUM(SAV_BUMB!I105)</f>
        <v>14</v>
      </c>
      <c r="J110" s="431">
        <f>SUM(SAV_BUMB!J105)</f>
        <v>14</v>
      </c>
    </row>
    <row r="111" spans="2:14" x14ac:dyDescent="0.2">
      <c r="B111" s="430" t="s">
        <v>220</v>
      </c>
      <c r="C111" s="423">
        <f>SUM(SAV_BUMB!C106)</f>
        <v>11</v>
      </c>
      <c r="D111" s="423">
        <f>SUM(SAV_BUMB!D106)</f>
        <v>107139</v>
      </c>
      <c r="E111" s="423">
        <f>SUM(SAV_BUMB!E106)</f>
        <v>3261</v>
      </c>
      <c r="F111" s="423">
        <f>SUM(SAV_BUMB!F106)</f>
        <v>25746</v>
      </c>
      <c r="G111" s="423">
        <f>SUM(SAV_BUMB!G106)</f>
        <v>39173</v>
      </c>
      <c r="H111" s="423">
        <f>SUM(SAV_BUMB!H106)</f>
        <v>14</v>
      </c>
      <c r="I111" s="423">
        <f>SUM(SAV_BUMB!I106)</f>
        <v>11</v>
      </c>
      <c r="J111" s="431">
        <f>SUM(SAV_BUMB!J106)</f>
        <v>11</v>
      </c>
    </row>
    <row r="112" spans="2:14" x14ac:dyDescent="0.2">
      <c r="B112" s="430" t="s">
        <v>113</v>
      </c>
      <c r="C112" s="423">
        <f>SUM(SAV_BUMB!C107, VALST_BUMB!C107,NEVALST_BUMB!C34)</f>
        <v>120</v>
      </c>
      <c r="D112" s="423">
        <f>SUM(SAV_BUMB!D107, VALST_BUMB!D107,NEVALST_BUMB!D34)</f>
        <v>1162126</v>
      </c>
      <c r="E112" s="423">
        <f>SUM(SAV_BUMB!E107, VALST_BUMB!E107,NEVALST_BUMB!E34)</f>
        <v>65773</v>
      </c>
      <c r="F112" s="423">
        <f>SUM(SAV_BUMB!F107, VALST_BUMB!F107,NEVALST_BUMB!F34)</f>
        <v>644718</v>
      </c>
      <c r="G112" s="423">
        <f>SUM(SAV_BUMB!G107, VALST_BUMB!G107,NEVALST_BUMB!G34)</f>
        <v>835249</v>
      </c>
      <c r="H112" s="423">
        <f>SUM(SAV_BUMB!H107, VALST_BUMB!H107,NEVALST_BUMB!H34)</f>
        <v>174</v>
      </c>
      <c r="I112" s="423">
        <f>SUM(SAV_BUMB!I107, VALST_BUMB!I107,NEVALST_BUMB!I34)</f>
        <v>117</v>
      </c>
      <c r="J112" s="431">
        <f>SUM(SAV_BUMB!J107, VALST_BUMB!J107,NEVALST_BUMB!J34)</f>
        <v>117</v>
      </c>
    </row>
    <row r="113" spans="2:10" x14ac:dyDescent="0.2">
      <c r="B113" s="430" t="s">
        <v>221</v>
      </c>
      <c r="C113" s="423">
        <f>SUM(SAV_BUMB!C108, VALST_BUMB!C108)</f>
        <v>39</v>
      </c>
      <c r="D113" s="423">
        <f>SUM(SAV_BUMB!D108, VALST_BUMB!D108)</f>
        <v>374288</v>
      </c>
      <c r="E113" s="423">
        <f>SUM(SAV_BUMB!E108, VALST_BUMB!E108)</f>
        <v>9244</v>
      </c>
      <c r="F113" s="423">
        <f>SUM(SAV_BUMB!F108, VALST_BUMB!F108)</f>
        <v>84040</v>
      </c>
      <c r="G113" s="423">
        <f>SUM(SAV_BUMB!G108, VALST_BUMB!G108)</f>
        <v>131698</v>
      </c>
      <c r="H113" s="423">
        <f>SUM(SAV_BUMB!H108, VALST_BUMB!H108)</f>
        <v>58</v>
      </c>
      <c r="I113" s="423">
        <f>SUM(SAV_BUMB!I108, VALST_BUMB!I108)</f>
        <v>38</v>
      </c>
      <c r="J113" s="433">
        <f>SUM(SAV_BUMB!J108, VALST_BUMB!J108)</f>
        <v>38</v>
      </c>
    </row>
    <row r="114" spans="2:10" ht="14.25" customHeight="1" x14ac:dyDescent="0.2">
      <c r="B114" s="434" t="s">
        <v>22</v>
      </c>
      <c r="C114" s="434">
        <f>SUM(C106:C113)</f>
        <v>221</v>
      </c>
      <c r="D114" s="434">
        <f t="shared" ref="D114:J114" si="9">SUM(D106:D113)</f>
        <v>2075508</v>
      </c>
      <c r="E114" s="434">
        <f t="shared" si="9"/>
        <v>91051</v>
      </c>
      <c r="F114" s="434">
        <f t="shared" si="9"/>
        <v>896790</v>
      </c>
      <c r="G114" s="434">
        <f t="shared" si="9"/>
        <v>1181390</v>
      </c>
      <c r="H114" s="434">
        <f t="shared" si="9"/>
        <v>310</v>
      </c>
      <c r="I114" s="434">
        <f t="shared" si="9"/>
        <v>214</v>
      </c>
      <c r="J114" s="434">
        <f t="shared" si="9"/>
        <v>214</v>
      </c>
    </row>
    <row r="115" spans="2:10" ht="13.5" customHeight="1" x14ac:dyDescent="0.2">
      <c r="B115" s="447" t="s">
        <v>115</v>
      </c>
      <c r="C115" s="447">
        <f t="shared" ref="C115:J115" si="10">C17+C27+C36+C43+C51+C84+C90+C96+C104+C114</f>
        <v>774</v>
      </c>
      <c r="D115" s="447">
        <f t="shared" si="10"/>
        <v>7874637</v>
      </c>
      <c r="E115" s="447">
        <f t="shared" si="10"/>
        <v>293772</v>
      </c>
      <c r="F115" s="447">
        <f t="shared" si="10"/>
        <v>2904677</v>
      </c>
      <c r="G115" s="447">
        <f t="shared" si="10"/>
        <v>3754983</v>
      </c>
      <c r="H115" s="447">
        <f t="shared" si="10"/>
        <v>1037</v>
      </c>
      <c r="I115" s="447">
        <f t="shared" si="10"/>
        <v>751</v>
      </c>
      <c r="J115" s="447">
        <f t="shared" si="10"/>
        <v>751</v>
      </c>
    </row>
    <row r="116" spans="2:10" x14ac:dyDescent="0.2">
      <c r="B116" s="440"/>
    </row>
    <row r="117" spans="2:10" x14ac:dyDescent="0.2">
      <c r="B117" s="440"/>
    </row>
    <row r="118" spans="2:10" x14ac:dyDescent="0.2">
      <c r="B118" s="440"/>
    </row>
    <row r="119" spans="2:10" x14ac:dyDescent="0.2">
      <c r="B119" s="440"/>
    </row>
    <row r="120" spans="2:10" x14ac:dyDescent="0.2">
      <c r="B120" s="440"/>
    </row>
    <row r="121" spans="2:10" x14ac:dyDescent="0.2">
      <c r="B121" s="440"/>
    </row>
    <row r="122" spans="2:10" x14ac:dyDescent="0.2">
      <c r="B122" s="440"/>
    </row>
    <row r="123" spans="2:10" x14ac:dyDescent="0.2">
      <c r="B123" s="440"/>
    </row>
    <row r="124" spans="2:10" x14ac:dyDescent="0.2">
      <c r="B124" s="440"/>
    </row>
    <row r="125" spans="2:10" x14ac:dyDescent="0.2">
      <c r="B125" s="440"/>
    </row>
    <row r="126" spans="2:10" x14ac:dyDescent="0.2">
      <c r="B126" s="440"/>
    </row>
    <row r="127" spans="2:10" x14ac:dyDescent="0.2">
      <c r="B127" s="440"/>
    </row>
    <row r="128" spans="2:10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  <row r="173" spans="2:2" x14ac:dyDescent="0.2">
      <c r="B173" s="440"/>
    </row>
    <row r="174" spans="2:2" x14ac:dyDescent="0.2">
      <c r="B174" s="440"/>
    </row>
    <row r="175" spans="2:2" x14ac:dyDescent="0.2">
      <c r="B175" s="440"/>
    </row>
    <row r="176" spans="2:2" x14ac:dyDescent="0.2">
      <c r="B176" s="440"/>
    </row>
    <row r="177" spans="2:2" x14ac:dyDescent="0.2">
      <c r="B177" s="440"/>
    </row>
    <row r="178" spans="2:2" x14ac:dyDescent="0.2">
      <c r="B178" s="440"/>
    </row>
  </sheetData>
  <mergeCells count="20">
    <mergeCell ref="B72:B74"/>
    <mergeCell ref="C72:C74"/>
    <mergeCell ref="D72:D74"/>
    <mergeCell ref="E72:E74"/>
    <mergeCell ref="F72:F74"/>
    <mergeCell ref="G72:G74"/>
    <mergeCell ref="H72:H74"/>
    <mergeCell ref="I72:J73"/>
    <mergeCell ref="H7:H9"/>
    <mergeCell ref="I7:J8"/>
    <mergeCell ref="B2:J2"/>
    <mergeCell ref="C3:H3"/>
    <mergeCell ref="I4:J4"/>
    <mergeCell ref="B5:J5"/>
    <mergeCell ref="B7:B9"/>
    <mergeCell ref="C7:C9"/>
    <mergeCell ref="D7:D9"/>
    <mergeCell ref="E7:E9"/>
    <mergeCell ref="F7:F9"/>
    <mergeCell ref="G7:G9"/>
  </mergeCells>
  <pageMargins left="0.70866141732283461" right="0.70866141732283461" top="0.74803149606299213" bottom="0.74803149606299213" header="0.31496062992125984" footer="0.31496062992125984"/>
  <pageSetup paperSize="9" scale="94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172"/>
  <sheetViews>
    <sheetView topLeftCell="A52" zoomScale="106" zoomScaleNormal="106" workbookViewId="0">
      <selection activeCell="C71" sqref="C71:J110"/>
    </sheetView>
  </sheetViews>
  <sheetFormatPr defaultColWidth="9.140625" defaultRowHeight="12" x14ac:dyDescent="0.2"/>
  <cols>
    <col min="1" max="1" width="9.140625" style="161"/>
    <col min="2" max="2" width="15.4257812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5703125" style="161" customWidth="1"/>
    <col min="8" max="8" width="10.8554687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165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173"/>
      <c r="C3" s="1005"/>
      <c r="D3" s="1005"/>
      <c r="E3" s="1005"/>
      <c r="F3" s="1005"/>
      <c r="G3" s="1005"/>
      <c r="H3" s="1005"/>
      <c r="I3" s="173"/>
      <c r="J3" s="173"/>
    </row>
    <row r="4" spans="2:21" s="175" customFormat="1" ht="15.75" x14ac:dyDescent="0.25">
      <c r="B4" s="174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ht="12.75" x14ac:dyDescent="0.2">
      <c r="B11" s="441" t="s">
        <v>151</v>
      </c>
      <c r="C11" s="442"/>
      <c r="D11" s="442"/>
      <c r="E11" s="442"/>
      <c r="F11" s="442"/>
      <c r="G11" s="442"/>
      <c r="H11" s="442"/>
      <c r="I11" s="442"/>
      <c r="J11" s="429"/>
      <c r="U11" s="376"/>
    </row>
    <row r="12" spans="2:21" ht="12.75" x14ac:dyDescent="0.2">
      <c r="B12" s="430" t="s">
        <v>88</v>
      </c>
      <c r="C12" s="423">
        <f>SUM(GIMNAZIJŲ!C12, PROGIMNAZIJŲ!C12, PAGRINDINIŲ!C12, PRADINIŲ!C12)</f>
        <v>14</v>
      </c>
      <c r="D12" s="423">
        <f>SUM(GIMNAZIJŲ!D12, PROGIMNAZIJŲ!D12, PAGRINDINIŲ!D12, PRADINIŲ!D12)</f>
        <v>169691</v>
      </c>
      <c r="E12" s="423">
        <f>SUM(GIMNAZIJŲ!E12, PROGIMNAZIJŲ!E12, PAGRINDINIŲ!E12, PRADINIŲ!E12)</f>
        <v>6066</v>
      </c>
      <c r="F12" s="423">
        <f>SUM(GIMNAZIJŲ!F12, PROGIMNAZIJŲ!F12, PAGRINDINIŲ!F12, PRADINIŲ!F12)</f>
        <v>63952</v>
      </c>
      <c r="G12" s="423">
        <f>SUM(GIMNAZIJŲ!G12, PROGIMNAZIJŲ!G12, PAGRINDINIŲ!G12, PRADINIŲ!G12)</f>
        <v>83551</v>
      </c>
      <c r="H12" s="423">
        <f>SUM(GIMNAZIJŲ!H12, PROGIMNAZIJŲ!H12, PAGRINDINIŲ!H12, PRADINIŲ!H12)</f>
        <v>19</v>
      </c>
      <c r="I12" s="423">
        <f>SUM(GIMNAZIJŲ!I12, PROGIMNAZIJŲ!I12, PAGRINDINIŲ!I12, PRADINIŲ!I12)</f>
        <v>14</v>
      </c>
      <c r="J12" s="431">
        <f>SUM(GIMNAZIJŲ!J12, PROGIMNAZIJŲ!J12, PAGRINDINIŲ!J12, PRADINIŲ!J12)</f>
        <v>14</v>
      </c>
      <c r="U12" s="376"/>
    </row>
    <row r="13" spans="2:21" ht="12.75" x14ac:dyDescent="0.2">
      <c r="B13" s="430" t="s">
        <v>179</v>
      </c>
      <c r="C13" s="423">
        <f>SUM(GIMNAZIJŲ!C13, PROGIMNAZIJŲ!C13, PAGRINDINIŲ!C13, PRADINIŲ!C13)</f>
        <v>1</v>
      </c>
      <c r="D13" s="423">
        <f>SUM(GIMNAZIJŲ!D13, PROGIMNAZIJŲ!D13, PAGRINDINIŲ!D13, PRADINIŲ!D13)</f>
        <v>5435</v>
      </c>
      <c r="E13" s="423">
        <f>SUM(GIMNAZIJŲ!E13, PROGIMNAZIJŲ!E13, PAGRINDINIŲ!E13, PRADINIŲ!E13)</f>
        <v>37</v>
      </c>
      <c r="F13" s="423">
        <f>SUM(GIMNAZIJŲ!F13, PROGIMNAZIJŲ!F13, PAGRINDINIŲ!F13, PRADINIŲ!F13)</f>
        <v>654</v>
      </c>
      <c r="G13" s="423">
        <f>SUM(GIMNAZIJŲ!G13, PROGIMNAZIJŲ!G13, PAGRINDINIŲ!G13, PRADINIŲ!G13)</f>
        <v>531</v>
      </c>
      <c r="H13" s="423">
        <f>SUM(GIMNAZIJŲ!H13, PROGIMNAZIJŲ!H13, PAGRINDINIŲ!H13, PRADINIŲ!H13)</f>
        <v>1</v>
      </c>
      <c r="I13" s="423">
        <f>SUM(GIMNAZIJŲ!I13, PROGIMNAZIJŲ!I13, PAGRINDINIŲ!I13, PRADINIŲ!I13)</f>
        <v>1</v>
      </c>
      <c r="J13" s="431">
        <f>SUM(GIMNAZIJŲ!J13, PROGIMNAZIJŲ!J13, PAGRINDINIŲ!J13, PRADINIŲ!J13)</f>
        <v>1</v>
      </c>
      <c r="U13" s="376"/>
    </row>
    <row r="14" spans="2:21" ht="12.75" x14ac:dyDescent="0.2">
      <c r="B14" s="430" t="s">
        <v>89</v>
      </c>
      <c r="C14" s="423">
        <f>SUM(GIMNAZIJŲ!C14, PROGIMNAZIJŲ!C14, PAGRINDINIŲ!C14, PRADINIŲ!C14)</f>
        <v>5</v>
      </c>
      <c r="D14" s="423">
        <f>SUM(GIMNAZIJŲ!D14, PROGIMNAZIJŲ!D14, PAGRINDINIŲ!D14, PRADINIŲ!D14)</f>
        <v>57761</v>
      </c>
      <c r="E14" s="423">
        <f>SUM(GIMNAZIJŲ!E14, PROGIMNAZIJŲ!E14, PAGRINDINIŲ!E14, PRADINIŲ!E14)</f>
        <v>3016</v>
      </c>
      <c r="F14" s="423">
        <f>SUM(GIMNAZIJŲ!F14, PROGIMNAZIJŲ!F14, PAGRINDINIŲ!F14, PRADINIŲ!F14)</f>
        <v>60180</v>
      </c>
      <c r="G14" s="423">
        <f>SUM(GIMNAZIJŲ!G14, PROGIMNAZIJŲ!G14, PAGRINDINIŲ!G14, PRADINIŲ!G14)</f>
        <v>39683</v>
      </c>
      <c r="H14" s="423">
        <f>SUM(GIMNAZIJŲ!H14, PROGIMNAZIJŲ!H14, PAGRINDINIŲ!H14, PRADINIŲ!H14)</f>
        <v>8</v>
      </c>
      <c r="I14" s="423">
        <f>SUM(GIMNAZIJŲ!I14, PROGIMNAZIJŲ!I14, PAGRINDINIŲ!I14, PRADINIŲ!I14)</f>
        <v>5</v>
      </c>
      <c r="J14" s="431">
        <f>SUM(GIMNAZIJŲ!J14, PROGIMNAZIJŲ!J14, PAGRINDINIŲ!J14, PRADINIŲ!J14)</f>
        <v>5</v>
      </c>
      <c r="U14" s="376"/>
    </row>
    <row r="15" spans="2:21" ht="12.75" x14ac:dyDescent="0.2">
      <c r="B15" s="430" t="s">
        <v>180</v>
      </c>
      <c r="C15" s="423">
        <f>SUM(GIMNAZIJŲ!C15, PROGIMNAZIJŲ!C15, PAGRINDINIŲ!C15, PRADINIŲ!C15)</f>
        <v>7</v>
      </c>
      <c r="D15" s="423">
        <f>SUM(GIMNAZIJŲ!D15, PROGIMNAZIJŲ!D15, PAGRINDINIŲ!D15, PRADINIŲ!D15)</f>
        <v>52075</v>
      </c>
      <c r="E15" s="423">
        <f>SUM(GIMNAZIJŲ!E15, PROGIMNAZIJŲ!E15, PAGRINDINIŲ!E15, PRADINIŲ!E15)</f>
        <v>1528</v>
      </c>
      <c r="F15" s="423">
        <f>SUM(GIMNAZIJŲ!F15, PROGIMNAZIJŲ!F15, PAGRINDINIŲ!F15, PRADINIŲ!F15)</f>
        <v>22132</v>
      </c>
      <c r="G15" s="423">
        <f>SUM(GIMNAZIJŲ!G15, PROGIMNAZIJŲ!G15, PAGRINDINIŲ!G15, PRADINIŲ!G15)</f>
        <v>21631</v>
      </c>
      <c r="H15" s="423">
        <f>SUM(GIMNAZIJŲ!H15, PROGIMNAZIJŲ!H15, PAGRINDINIŲ!H15, PRADINIŲ!H15)</f>
        <v>9</v>
      </c>
      <c r="I15" s="423">
        <f>SUM(GIMNAZIJŲ!I15, PROGIMNAZIJŲ!I15, PAGRINDINIŲ!I15, PRADINIŲ!I15)</f>
        <v>6</v>
      </c>
      <c r="J15" s="431">
        <f>SUM(GIMNAZIJŲ!J15, PROGIMNAZIJŲ!J15, PAGRINDINIŲ!J15, PRADINIŲ!J15)</f>
        <v>6</v>
      </c>
      <c r="U15" s="376"/>
    </row>
    <row r="16" spans="2:21" x14ac:dyDescent="0.2">
      <c r="B16" s="430" t="s">
        <v>181</v>
      </c>
      <c r="C16" s="423">
        <f>SUM(GIMNAZIJŲ!C16, PROGIMNAZIJŲ!C16, PAGRINDINIŲ!C16, PRADINIŲ!C16)</f>
        <v>7</v>
      </c>
      <c r="D16" s="423">
        <f>SUM(GIMNAZIJŲ!D16, PROGIMNAZIJŲ!D16, PAGRINDINIŲ!D16, PRADINIŲ!D16)</f>
        <v>100297</v>
      </c>
      <c r="E16" s="423">
        <f>SUM(GIMNAZIJŲ!E16, PROGIMNAZIJŲ!E16, PAGRINDINIŲ!E16, PRADINIŲ!E16)</f>
        <v>1626</v>
      </c>
      <c r="F16" s="423">
        <f>SUM(GIMNAZIJŲ!F16, PROGIMNAZIJŲ!F16, PAGRINDINIŲ!F16, PRADINIŲ!F16)</f>
        <v>13848</v>
      </c>
      <c r="G16" s="423">
        <f>SUM(GIMNAZIJŲ!G16, PROGIMNAZIJŲ!G16, PAGRINDINIŲ!G16, PRADINIŲ!G16)</f>
        <v>15965</v>
      </c>
      <c r="H16" s="423">
        <f>SUM(GIMNAZIJŲ!H16, PROGIMNAZIJŲ!H16, PAGRINDINIŲ!H16, PRADINIŲ!H16)</f>
        <v>6</v>
      </c>
      <c r="I16" s="423">
        <f>SUM(GIMNAZIJŲ!I16, PROGIMNAZIJŲ!I16, PAGRINDINIŲ!I16, PRADINIŲ!I16)</f>
        <v>6</v>
      </c>
      <c r="J16" s="431">
        <f>SUM(GIMNAZIJŲ!J16, PROGIMNAZIJŲ!J16, PAGRINDINIŲ!J16, PRADINIŲ!J16)</f>
        <v>6</v>
      </c>
    </row>
    <row r="17" spans="2:10" ht="16.5" customHeight="1" x14ac:dyDescent="0.2">
      <c r="B17" s="434" t="s">
        <v>22</v>
      </c>
      <c r="C17" s="460">
        <f>SUM(C12:C16)</f>
        <v>34</v>
      </c>
      <c r="D17" s="434">
        <f t="shared" ref="D17:J17" si="0">SUM(D12:D16)</f>
        <v>385259</v>
      </c>
      <c r="E17" s="434">
        <f t="shared" si="0"/>
        <v>12273</v>
      </c>
      <c r="F17" s="434">
        <f t="shared" si="0"/>
        <v>160766</v>
      </c>
      <c r="G17" s="434">
        <f t="shared" si="0"/>
        <v>161361</v>
      </c>
      <c r="H17" s="434">
        <f t="shared" si="0"/>
        <v>43</v>
      </c>
      <c r="I17" s="434">
        <f>SUM(I12:I16)</f>
        <v>32</v>
      </c>
      <c r="J17" s="434">
        <f t="shared" si="0"/>
        <v>32</v>
      </c>
    </row>
    <row r="18" spans="2:10" x14ac:dyDescent="0.2">
      <c r="B18" s="441" t="s">
        <v>152</v>
      </c>
      <c r="C18" s="442"/>
      <c r="D18" s="442"/>
      <c r="E18" s="442"/>
      <c r="F18" s="442"/>
      <c r="G18" s="442"/>
      <c r="H18" s="442"/>
      <c r="I18" s="442"/>
      <c r="J18" s="429"/>
    </row>
    <row r="19" spans="2:10" x14ac:dyDescent="0.2">
      <c r="B19" s="430" t="s">
        <v>91</v>
      </c>
      <c r="C19" s="423">
        <f>SUM(GIMNAZIJŲ!C19, PROGIMNAZIJŲ!C19, PAGRINDINIŲ!C19, PRADINIŲ!C19)</f>
        <v>1</v>
      </c>
      <c r="D19" s="423">
        <f>SUM(GIMNAZIJŲ!D19,PROGIMNAZIJŲ!D19,PAGRINDINIŲ!D19,PRADINIŲ!D19)</f>
        <v>8903</v>
      </c>
      <c r="E19" s="423">
        <f>SUM(GIMNAZIJŲ!E19,PROGIMNAZIJŲ!E19,PAGRINDINIŲ!E19,PRADINIŲ!E19)</f>
        <v>419</v>
      </c>
      <c r="F19" s="423">
        <f>SUM(GIMNAZIJŲ!F19,PROGIMNAZIJŲ!F19,PAGRINDINIŲ!F19,PRADINIŲ!F19)</f>
        <v>1058</v>
      </c>
      <c r="G19" s="423">
        <f>SUM(GIMNAZIJŲ!G19,PROGIMNAZIJŲ!G19,PAGRINDINIŲ!G19,PRADINIŲ!G19)</f>
        <v>8263</v>
      </c>
      <c r="H19" s="423">
        <f>SUM(GIMNAZIJŲ!H19,PROGIMNAZIJŲ!H19,PAGRINDINIŲ!H19,PRADINIŲ!H19)</f>
        <v>1</v>
      </c>
      <c r="I19" s="423">
        <f>SUM(GIMNAZIJŲ!I19,PROGIMNAZIJŲ!I19,PAGRINDINIŲ!I19,PRADINIŲ!I19)</f>
        <v>1</v>
      </c>
      <c r="J19" s="431">
        <f>SUM(GIMNAZIJŲ!J19,PROGIMNAZIJŲ!J19,PAGRINDINIŲ!J19,PRADINIŲ!J19)</f>
        <v>1</v>
      </c>
    </row>
    <row r="20" spans="2:10" x14ac:dyDescent="0.2">
      <c r="B20" s="430" t="s">
        <v>182</v>
      </c>
      <c r="C20" s="423">
        <f>SUM(GIMNAZIJŲ!C20, PROGIMNAZIJŲ!C20, PAGRINDINIŲ!C20, PRADINIŲ!C20)</f>
        <v>14</v>
      </c>
      <c r="D20" s="423">
        <f>SUM(GIMNAZIJŲ!D20,PROGIMNAZIJŲ!D20,PAGRINDINIŲ!D20,PRADINIŲ!D20)</f>
        <v>169878</v>
      </c>
      <c r="E20" s="423">
        <f>SUM(GIMNAZIJŲ!E20,PROGIMNAZIJŲ!E20,PAGRINDINIŲ!E20,PRADINIŲ!E20)</f>
        <v>3981</v>
      </c>
      <c r="F20" s="423">
        <f>SUM(GIMNAZIJŲ!F20,PROGIMNAZIJŲ!F20,PAGRINDINIŲ!F20,PRADINIŲ!F20)</f>
        <v>35560</v>
      </c>
      <c r="G20" s="423">
        <f>SUM(GIMNAZIJŲ!G20,PROGIMNAZIJŲ!G20,PAGRINDINIŲ!G20,PRADINIŲ!G20)</f>
        <v>64095</v>
      </c>
      <c r="H20" s="423">
        <f>SUM(GIMNAZIJŲ!H20,PROGIMNAZIJŲ!H20,PAGRINDINIŲ!H20,PRADINIŲ!H20)</f>
        <v>19</v>
      </c>
      <c r="I20" s="423">
        <f>SUM(GIMNAZIJŲ!I20,PROGIMNAZIJŲ!I20,PAGRINDINIŲ!I20,PRADINIŲ!I20)</f>
        <v>14</v>
      </c>
      <c r="J20" s="431">
        <f>SUM(GIMNAZIJŲ!J20,PROGIMNAZIJŲ!J20,PAGRINDINIŲ!J20,PRADINIŲ!J20)</f>
        <v>14</v>
      </c>
    </row>
    <row r="21" spans="2:10" x14ac:dyDescent="0.2">
      <c r="B21" s="430" t="s">
        <v>183</v>
      </c>
      <c r="C21" s="423">
        <f>SUM(GIMNAZIJŲ!C21, PROGIMNAZIJŲ!C21, PAGRINDINIŲ!C21, PRADINIŲ!C21)</f>
        <v>10</v>
      </c>
      <c r="D21" s="423">
        <f>SUM(GIMNAZIJŲ!D21,PROGIMNAZIJŲ!D21,PAGRINDINIŲ!D21,PRADINIŲ!D21)</f>
        <v>105565</v>
      </c>
      <c r="E21" s="423">
        <f>SUM(GIMNAZIJŲ!E21,PROGIMNAZIJŲ!E21,PAGRINDINIŲ!E21,PRADINIŲ!E21)</f>
        <v>3047</v>
      </c>
      <c r="F21" s="423">
        <f>SUM(GIMNAZIJŲ!F21,PROGIMNAZIJŲ!F21,PAGRINDINIŲ!F21,PRADINIŲ!F21)</f>
        <v>23715</v>
      </c>
      <c r="G21" s="423">
        <f>SUM(GIMNAZIJŲ!G21,PROGIMNAZIJŲ!G21,PAGRINDINIŲ!G21,PRADINIŲ!G21)</f>
        <v>71274</v>
      </c>
      <c r="H21" s="423">
        <f>SUM(GIMNAZIJŲ!H21,PROGIMNAZIJŲ!H21,PAGRINDINIŲ!H21,PRADINIŲ!H21)</f>
        <v>13</v>
      </c>
      <c r="I21" s="423">
        <f>SUM(GIMNAZIJŲ!I21,PROGIMNAZIJŲ!I21,PAGRINDINIŲ!I21,PRADINIŲ!I21)</f>
        <v>9</v>
      </c>
      <c r="J21" s="431">
        <f>SUM(GIMNAZIJŲ!J21,PROGIMNAZIJŲ!J21,PAGRINDINIŲ!J21,PRADINIŲ!J21)</f>
        <v>9</v>
      </c>
    </row>
    <row r="22" spans="2:10" x14ac:dyDescent="0.2">
      <c r="B22" s="430" t="s">
        <v>92</v>
      </c>
      <c r="C22" s="423">
        <f>SUM(GIMNAZIJŲ!C22, PROGIMNAZIJŲ!C22, PAGRINDINIŲ!C22, PRADINIŲ!C22)</f>
        <v>59</v>
      </c>
      <c r="D22" s="423">
        <f>SUM(GIMNAZIJŲ!D22,PROGIMNAZIJŲ!D22,PAGRINDINIŲ!D22,PRADINIŲ!D22)</f>
        <v>524098</v>
      </c>
      <c r="E22" s="423">
        <f>SUM(GIMNAZIJŲ!E22,PROGIMNAZIJŲ!E22,PAGRINDINIŲ!E22,PRADINIŲ!E22)</f>
        <v>28823</v>
      </c>
      <c r="F22" s="423">
        <f>SUM(GIMNAZIJŲ!F22,PROGIMNAZIJŲ!F22,PAGRINDINIŲ!F22,PRADINIŲ!F22)</f>
        <v>259076</v>
      </c>
      <c r="G22" s="423">
        <f>SUM(GIMNAZIJŲ!G22,PROGIMNAZIJŲ!G22,PAGRINDINIŲ!G22,PRADINIŲ!G22)</f>
        <v>266138</v>
      </c>
      <c r="H22" s="423">
        <f>SUM(GIMNAZIJŲ!H22,PROGIMNAZIJŲ!H22,PAGRINDINIŲ!H22,PRADINIŲ!H22)</f>
        <v>76</v>
      </c>
      <c r="I22" s="423">
        <f>SUM(GIMNAZIJŲ!I22,PROGIMNAZIJŲ!I22,PAGRINDINIŲ!I22,PRADINIŲ!I22)</f>
        <v>59</v>
      </c>
      <c r="J22" s="431">
        <f>SUM(GIMNAZIJŲ!J22,PROGIMNAZIJŲ!J22,PAGRINDINIŲ!J22,PRADINIŲ!J22)</f>
        <v>59</v>
      </c>
    </row>
    <row r="23" spans="2:10" x14ac:dyDescent="0.2">
      <c r="B23" s="430" t="s">
        <v>184</v>
      </c>
      <c r="C23" s="423">
        <f>SUM(GIMNAZIJŲ!C23, PROGIMNAZIJŲ!C23, PAGRINDINIŲ!C23, PRADINIŲ!C23)</f>
        <v>19</v>
      </c>
      <c r="D23" s="423">
        <f>SUM(GIMNAZIJŲ!D23,PROGIMNAZIJŲ!D23,PAGRINDINIŲ!D23,PRADINIŲ!D23)</f>
        <v>167687</v>
      </c>
      <c r="E23" s="423">
        <f>SUM(GIMNAZIJŲ!E23,PROGIMNAZIJŲ!E23,PAGRINDINIŲ!E23,PRADINIŲ!E23)</f>
        <v>9069</v>
      </c>
      <c r="F23" s="423">
        <f>SUM(GIMNAZIJŲ!F23,PROGIMNAZIJŲ!F23,PAGRINDINIŲ!F23,PRADINIŲ!F23)</f>
        <v>93730</v>
      </c>
      <c r="G23" s="423">
        <f>SUM(GIMNAZIJŲ!G23,PROGIMNAZIJŲ!G23,PAGRINDINIŲ!G23,PRADINIŲ!G23)</f>
        <v>120309</v>
      </c>
      <c r="H23" s="423">
        <f>SUM(GIMNAZIJŲ!H23,PROGIMNAZIJŲ!H23,PAGRINDINIŲ!H23,PRADINIŲ!H23)</f>
        <v>23</v>
      </c>
      <c r="I23" s="423">
        <f>SUM(GIMNAZIJŲ!I23,PROGIMNAZIJŲ!I23,PAGRINDINIŲ!I23,PRADINIŲ!I23)</f>
        <v>19</v>
      </c>
      <c r="J23" s="431">
        <f>SUM(GIMNAZIJŲ!J23,PROGIMNAZIJŲ!J23,PAGRINDINIŲ!J23,PRADINIŲ!J23)</f>
        <v>19</v>
      </c>
    </row>
    <row r="24" spans="2:10" x14ac:dyDescent="0.2">
      <c r="B24" s="430" t="s">
        <v>185</v>
      </c>
      <c r="C24" s="423">
        <f>SUM(GIMNAZIJŲ!C24, PROGIMNAZIJŲ!C24, PAGRINDINIŲ!C24, PRADINIŲ!C24)</f>
        <v>14</v>
      </c>
      <c r="D24" s="423">
        <f>SUM(GIMNAZIJŲ!D24,PROGIMNAZIJŲ!D24,PAGRINDINIŲ!D24,PRADINIŲ!D24)</f>
        <v>123484</v>
      </c>
      <c r="E24" s="423">
        <f>SUM(GIMNAZIJŲ!E24,PROGIMNAZIJŲ!E24,PAGRINDINIŲ!E24,PRADINIŲ!E24)</f>
        <v>5044</v>
      </c>
      <c r="F24" s="423">
        <f>SUM(GIMNAZIJŲ!F24,PROGIMNAZIJŲ!F24,PAGRINDINIŲ!F24,PRADINIŲ!F24)</f>
        <v>56142</v>
      </c>
      <c r="G24" s="423">
        <f>SUM(GIMNAZIJŲ!G24,PROGIMNAZIJŲ!G24,PAGRINDINIŲ!G24,PRADINIŲ!G24)</f>
        <v>83342</v>
      </c>
      <c r="H24" s="423">
        <f>SUM(GIMNAZIJŲ!H24,PROGIMNAZIJŲ!H24,PAGRINDINIŲ!H24,PRADINIŲ!H24)</f>
        <v>20</v>
      </c>
      <c r="I24" s="423">
        <f>SUM(GIMNAZIJŲ!I24,PROGIMNAZIJŲ!I24,PAGRINDINIŲ!I24,PRADINIŲ!I24)</f>
        <v>13</v>
      </c>
      <c r="J24" s="431">
        <f>SUM(GIMNAZIJŲ!J24,PROGIMNAZIJŲ!J24,PAGRINDINIŲ!J24,PRADINIŲ!J24)</f>
        <v>13</v>
      </c>
    </row>
    <row r="25" spans="2:10" x14ac:dyDescent="0.2">
      <c r="B25" s="430" t="s">
        <v>186</v>
      </c>
      <c r="C25" s="423">
        <f>SUM(GIMNAZIJŲ!C25, PROGIMNAZIJŲ!C25, PAGRINDINIŲ!C25, PRADINIŲ!C25)</f>
        <v>10</v>
      </c>
      <c r="D25" s="423">
        <f>SUM(GIMNAZIJŲ!D25,PROGIMNAZIJŲ!D25,PAGRINDINIŲ!D25,PRADINIŲ!D25)</f>
        <v>85352</v>
      </c>
      <c r="E25" s="423">
        <f>SUM(GIMNAZIJŲ!E25,PROGIMNAZIJŲ!E25,PAGRINDINIŲ!E25,PRADINIŲ!E25)</f>
        <v>2851</v>
      </c>
      <c r="F25" s="423">
        <f>SUM(GIMNAZIJŲ!F25,PROGIMNAZIJŲ!F25,PAGRINDINIŲ!F25,PRADINIŲ!F25)</f>
        <v>15062</v>
      </c>
      <c r="G25" s="423">
        <f>SUM(GIMNAZIJŲ!G25,PROGIMNAZIJŲ!G25,PAGRINDINIŲ!G25,PRADINIŲ!G25)</f>
        <v>11816</v>
      </c>
      <c r="H25" s="423">
        <f>SUM(GIMNAZIJŲ!H25,PROGIMNAZIJŲ!H25,PAGRINDINIŲ!H25,PRADINIŲ!H25)</f>
        <v>11</v>
      </c>
      <c r="I25" s="423">
        <f>SUM(GIMNAZIJŲ!I25,PROGIMNAZIJŲ!I25,PAGRINDINIŲ!I25,PRADINIŲ!I25)</f>
        <v>10</v>
      </c>
      <c r="J25" s="431">
        <f>SUM(GIMNAZIJŲ!J25,PROGIMNAZIJŲ!J25,PAGRINDINIŲ!J25,PRADINIŲ!J25)</f>
        <v>10</v>
      </c>
    </row>
    <row r="26" spans="2:10" x14ac:dyDescent="0.2">
      <c r="B26" s="430" t="s">
        <v>187</v>
      </c>
      <c r="C26" s="423">
        <f>SUM(GIMNAZIJŲ!C26, PROGIMNAZIJŲ!C26, PAGRINDINIŲ!C26, PRADINIŲ!C26)</f>
        <v>10</v>
      </c>
      <c r="D26" s="423">
        <f>SUM(GIMNAZIJŲ!D26,PROGIMNAZIJŲ!D26,PAGRINDINIŲ!D26,PRADINIŲ!D26)</f>
        <v>100533</v>
      </c>
      <c r="E26" s="423">
        <f>SUM(GIMNAZIJŲ!E26,PROGIMNAZIJŲ!E26,PAGRINDINIŲ!E26,PRADINIŲ!E26)</f>
        <v>2884</v>
      </c>
      <c r="F26" s="423">
        <f>SUM(GIMNAZIJŲ!F26,PROGIMNAZIJŲ!F26,PAGRINDINIŲ!F26,PRADINIŲ!F26)</f>
        <v>33683</v>
      </c>
      <c r="G26" s="423">
        <f>SUM(GIMNAZIJŲ!G26,PROGIMNAZIJŲ!G26,PAGRINDINIŲ!G26,PRADINIŲ!G26)</f>
        <v>73015</v>
      </c>
      <c r="H26" s="423">
        <f>SUM(GIMNAZIJŲ!H26,PROGIMNAZIJŲ!H26,PAGRINDINIŲ!H26,PRADINIŲ!H26)</f>
        <v>12</v>
      </c>
      <c r="I26" s="423">
        <f>SUM(GIMNAZIJŲ!I26,PROGIMNAZIJŲ!I26,PAGRINDINIŲ!I26,PRADINIŲ!I26)</f>
        <v>10</v>
      </c>
      <c r="J26" s="431">
        <f>SUM(GIMNAZIJŲ!J26,PROGIMNAZIJŲ!J26,PAGRINDINIŲ!J26,PRADINIŲ!J26)</f>
        <v>10</v>
      </c>
    </row>
    <row r="27" spans="2:10" ht="15" customHeight="1" x14ac:dyDescent="0.2">
      <c r="B27" s="434" t="s">
        <v>22</v>
      </c>
      <c r="C27" s="460">
        <f>SUM(C19:C26)</f>
        <v>137</v>
      </c>
      <c r="D27" s="434">
        <f t="shared" ref="D27:J27" si="1">SUM(D19:D26)</f>
        <v>1285500</v>
      </c>
      <c r="E27" s="434">
        <f>SUM(E19:E26)</f>
        <v>56118</v>
      </c>
      <c r="F27" s="434">
        <f t="shared" si="1"/>
        <v>518026</v>
      </c>
      <c r="G27" s="434">
        <f t="shared" si="1"/>
        <v>698252</v>
      </c>
      <c r="H27" s="434">
        <f t="shared" si="1"/>
        <v>175</v>
      </c>
      <c r="I27" s="434">
        <f t="shared" si="1"/>
        <v>135</v>
      </c>
      <c r="J27" s="434">
        <f t="shared" si="1"/>
        <v>135</v>
      </c>
    </row>
    <row r="28" spans="2:10" x14ac:dyDescent="0.2">
      <c r="B28" s="441" t="s">
        <v>153</v>
      </c>
      <c r="C28" s="442"/>
      <c r="D28" s="442"/>
      <c r="E28" s="442"/>
      <c r="F28" s="442"/>
      <c r="G28" s="442"/>
      <c r="H28" s="442"/>
      <c r="I28" s="442"/>
      <c r="J28" s="429"/>
    </row>
    <row r="29" spans="2:10" x14ac:dyDescent="0.2">
      <c r="B29" s="430" t="s">
        <v>94</v>
      </c>
      <c r="C29" s="423">
        <f>SUM(GIMNAZIJŲ!C29, PROGIMNAZIJŲ!C29, PAGRINDINIŲ!C29, PRADINIŲ!C29)</f>
        <v>33</v>
      </c>
      <c r="D29" s="423">
        <f>SUM(GIMNAZIJŲ!D29, PROGIMNAZIJŲ!D29, PAGRINDINIŲ!D29, PRADINIŲ!D29)</f>
        <v>357613</v>
      </c>
      <c r="E29" s="423">
        <f>SUM(GIMNAZIJŲ!E29, PROGIMNAZIJŲ!E29, PAGRINDINIŲ!E29, PRADINIŲ!E29)</f>
        <v>14948</v>
      </c>
      <c r="F29" s="423">
        <f>SUM(GIMNAZIJŲ!F29, PROGIMNAZIJŲ!F29, PAGRINDINIŲ!F29, PRADINIŲ!F29)</f>
        <v>143422</v>
      </c>
      <c r="G29" s="423">
        <f>SUM(GIMNAZIJŲ!G29, PROGIMNAZIJŲ!G29, PAGRINDINIŲ!G29, PRADINIŲ!G29)</f>
        <v>148260</v>
      </c>
      <c r="H29" s="423">
        <f>SUM(GIMNAZIJŲ!H29, PROGIMNAZIJŲ!H29, PAGRINDINIŲ!H29, PRADINIŲ!H29)</f>
        <v>41</v>
      </c>
      <c r="I29" s="423">
        <f>SUM(GIMNAZIJŲ!I29, PROGIMNAZIJŲ!I29, PAGRINDINIŲ!I29, PRADINIŲ!I29)</f>
        <v>31</v>
      </c>
      <c r="J29" s="431">
        <f>SUM(GIMNAZIJŲ!J29, PROGIMNAZIJŲ!J29, PAGRINDINIŲ!J29, PRADINIŲ!J29)</f>
        <v>31</v>
      </c>
    </row>
    <row r="30" spans="2:10" x14ac:dyDescent="0.2">
      <c r="B30" s="430" t="s">
        <v>188</v>
      </c>
      <c r="C30" s="423">
        <f>SUM(GIMNAZIJŲ!C30, PROGIMNAZIJŲ!C30, PAGRINDINIŲ!C30, PRADINIŲ!C30)</f>
        <v>13</v>
      </c>
      <c r="D30" s="423">
        <f>SUM(GIMNAZIJŲ!D30, PROGIMNAZIJŲ!D30, PAGRINDINIŲ!D30, PRADINIŲ!D30)</f>
        <v>112965</v>
      </c>
      <c r="E30" s="423">
        <f>SUM(GIMNAZIJŲ!E30, PROGIMNAZIJŲ!E30, PAGRINDINIŲ!E30, PRADINIŲ!E30)</f>
        <v>4592</v>
      </c>
      <c r="F30" s="423">
        <f>SUM(GIMNAZIJŲ!F30, PROGIMNAZIJŲ!F30, PAGRINDINIŲ!F30, PRADINIŲ!F30)</f>
        <v>45349</v>
      </c>
      <c r="G30" s="423">
        <f>SUM(GIMNAZIJŲ!G30, PROGIMNAZIJŲ!G30, PAGRINDINIŲ!G30, PRADINIŲ!G30)</f>
        <v>66506</v>
      </c>
      <c r="H30" s="423">
        <f>SUM(GIMNAZIJŲ!H30, PROGIMNAZIJŲ!H30, PAGRINDINIŲ!H30, PRADINIŲ!H30)</f>
        <v>23</v>
      </c>
      <c r="I30" s="423">
        <f>SUM(GIMNAZIJŲ!I30, PROGIMNAZIJŲ!I30, PAGRINDINIŲ!I30, PRADINIŲ!I30)</f>
        <v>13</v>
      </c>
      <c r="J30" s="431">
        <f>SUM(GIMNAZIJŲ!J30, PROGIMNAZIJŲ!J30, PAGRINDINIŲ!J30, PRADINIŲ!J30)</f>
        <v>13</v>
      </c>
    </row>
    <row r="31" spans="2:10" x14ac:dyDescent="0.2">
      <c r="B31" s="430" t="s">
        <v>189</v>
      </c>
      <c r="C31" s="423">
        <f>SUM(GIMNAZIJŲ!C31, PROGIMNAZIJŲ!C31, PAGRINDINIŲ!C31, PRADINIŲ!C31)</f>
        <v>13</v>
      </c>
      <c r="D31" s="423">
        <f>SUM(GIMNAZIJŲ!D31, PROGIMNAZIJŲ!D31, PAGRINDINIŲ!D31, PRADINIŲ!D31)</f>
        <v>85845</v>
      </c>
      <c r="E31" s="423">
        <f>SUM(GIMNAZIJŲ!E31, PROGIMNAZIJŲ!E31, PAGRINDINIŲ!E31, PRADINIŲ!E31)</f>
        <v>4586</v>
      </c>
      <c r="F31" s="423">
        <f>SUM(GIMNAZIJŲ!F31, PROGIMNAZIJŲ!F31, PAGRINDINIŲ!F31, PRADINIŲ!F31)</f>
        <v>32005</v>
      </c>
      <c r="G31" s="423">
        <f>SUM(GIMNAZIJŲ!G31, PROGIMNAZIJŲ!G31, PAGRINDINIŲ!G31, PRADINIŲ!G31)</f>
        <v>65024</v>
      </c>
      <c r="H31" s="423">
        <f>SUM(GIMNAZIJŲ!H31, PROGIMNAZIJŲ!H31, PAGRINDINIŲ!H31, PRADINIŲ!H31)</f>
        <v>20</v>
      </c>
      <c r="I31" s="423">
        <f>SUM(GIMNAZIJŲ!I31, PROGIMNAZIJŲ!I31, PAGRINDINIŲ!I31, PRADINIŲ!I31)</f>
        <v>13</v>
      </c>
      <c r="J31" s="431">
        <f>SUM(GIMNAZIJŲ!J31, PROGIMNAZIJŲ!J31, PAGRINDINIŲ!J31, PRADINIŲ!J31)</f>
        <v>13</v>
      </c>
    </row>
    <row r="32" spans="2:10" x14ac:dyDescent="0.2">
      <c r="B32" s="430" t="s">
        <v>95</v>
      </c>
      <c r="C32" s="423">
        <f>SUM(GIMNAZIJŲ!C32, PROGIMNAZIJŲ!C32, PAGRINDINIŲ!C32, PRADINIŲ!C32)</f>
        <v>1</v>
      </c>
      <c r="D32" s="423">
        <f>SUM(GIMNAZIJŲ!D32, PROGIMNAZIJŲ!D32, PAGRINDINIŲ!D32, PRADINIŲ!D32)</f>
        <v>12267</v>
      </c>
      <c r="E32" s="423">
        <f>SUM(GIMNAZIJŲ!E32, PROGIMNAZIJŲ!E32, PAGRINDINIŲ!E32, PRADINIŲ!E32)</f>
        <v>110</v>
      </c>
      <c r="F32" s="423">
        <f>SUM(GIMNAZIJŲ!F32, PROGIMNAZIJŲ!F32, PAGRINDINIŲ!F32, PRADINIŲ!F32)</f>
        <v>1378</v>
      </c>
      <c r="G32" s="423">
        <f>SUM(GIMNAZIJŲ!G32, PROGIMNAZIJŲ!G32, PAGRINDINIŲ!G32, PRADINIŲ!G32)</f>
        <v>1452</v>
      </c>
      <c r="H32" s="423">
        <f>SUM(GIMNAZIJŲ!H32, PROGIMNAZIJŲ!H32, PAGRINDINIŲ!H32, PRADINIŲ!H32)</f>
        <v>1</v>
      </c>
      <c r="I32" s="423">
        <f>SUM(GIMNAZIJŲ!I32, PROGIMNAZIJŲ!I32, PAGRINDINIŲ!I32, PRADINIŲ!I32)</f>
        <v>1</v>
      </c>
      <c r="J32" s="431">
        <f>SUM(GIMNAZIJŲ!J32, PROGIMNAZIJŲ!J32, PAGRINDINIŲ!J32, PRADINIŲ!J32)</f>
        <v>1</v>
      </c>
    </row>
    <row r="33" spans="2:10" x14ac:dyDescent="0.2">
      <c r="B33" s="430" t="s">
        <v>96</v>
      </c>
      <c r="C33" s="423">
        <f>SUM(GIMNAZIJŲ!C33, PROGIMNAZIJŲ!C33, PAGRINDINIŲ!C33, PRADINIŲ!C33)</f>
        <v>6</v>
      </c>
      <c r="D33" s="423">
        <f>SUM(GIMNAZIJŲ!D33, PROGIMNAZIJŲ!D33, PAGRINDINIŲ!D33, PRADINIŲ!D33)</f>
        <v>77764</v>
      </c>
      <c r="E33" s="423">
        <f>SUM(GIMNAZIJŲ!E33, PROGIMNAZIJŲ!E33, PAGRINDINIŲ!E33, PRADINIŲ!E33)</f>
        <v>3324</v>
      </c>
      <c r="F33" s="423">
        <f>SUM(GIMNAZIJŲ!F33, PROGIMNAZIJŲ!F33, PAGRINDINIŲ!F33, PRADINIŲ!F33)</f>
        <v>19217</v>
      </c>
      <c r="G33" s="423">
        <f>SUM(GIMNAZIJŲ!G33, PROGIMNAZIJŲ!G33, PAGRINDINIŲ!G33, PRADINIŲ!G33)</f>
        <v>33917</v>
      </c>
      <c r="H33" s="423">
        <f>SUM(GIMNAZIJŲ!H33, PROGIMNAZIJŲ!H33, PAGRINDINIŲ!H33, PRADINIŲ!H33)</f>
        <v>9</v>
      </c>
      <c r="I33" s="423">
        <f>SUM(GIMNAZIJŲ!I33, PROGIMNAZIJŲ!I33, PAGRINDINIŲ!I33, PRADINIŲ!I33)</f>
        <v>6</v>
      </c>
      <c r="J33" s="431">
        <f>SUM(GIMNAZIJŲ!J33, PROGIMNAZIJŲ!J33, PAGRINDINIŲ!J33, PRADINIŲ!J33)</f>
        <v>6</v>
      </c>
    </row>
    <row r="34" spans="2:10" x14ac:dyDescent="0.2">
      <c r="B34" s="430" t="s">
        <v>190</v>
      </c>
      <c r="C34" s="423">
        <f>SUM(GIMNAZIJŲ!C34, PROGIMNAZIJŲ!C34, PAGRINDINIŲ!C34, PRADINIŲ!C34)</f>
        <v>4</v>
      </c>
      <c r="D34" s="423">
        <f>SUM(GIMNAZIJŲ!D34, PROGIMNAZIJŲ!D34, PAGRINDINIŲ!D34, PRADINIŲ!D34)</f>
        <v>53148</v>
      </c>
      <c r="E34" s="423">
        <f>SUM(GIMNAZIJŲ!E34, PROGIMNAZIJŲ!E34, PAGRINDINIŲ!E34, PRADINIŲ!E34)</f>
        <v>1172</v>
      </c>
      <c r="F34" s="423">
        <f>SUM(GIMNAZIJŲ!F34, PROGIMNAZIJŲ!F34, PAGRINDINIŲ!F34, PRADINIŲ!F34)</f>
        <v>20126</v>
      </c>
      <c r="G34" s="423">
        <f>SUM(GIMNAZIJŲ!G34, PROGIMNAZIJŲ!G34, PAGRINDINIŲ!G34, PRADINIŲ!G34)</f>
        <v>15310</v>
      </c>
      <c r="H34" s="423">
        <f>SUM(GIMNAZIJŲ!H34, PROGIMNAZIJŲ!H34, PAGRINDINIŲ!H34, PRADINIŲ!H34)</f>
        <v>5</v>
      </c>
      <c r="I34" s="423">
        <f>SUM(GIMNAZIJŲ!I34, PROGIMNAZIJŲ!I34, PAGRINDINIŲ!I34, PRADINIŲ!I34)</f>
        <v>4</v>
      </c>
      <c r="J34" s="431">
        <f>SUM(GIMNAZIJŲ!J34, PROGIMNAZIJŲ!J34, PAGRINDINIŲ!J34, PRADINIŲ!J34)</f>
        <v>4</v>
      </c>
    </row>
    <row r="35" spans="2:10" x14ac:dyDescent="0.2">
      <c r="B35" s="430" t="s">
        <v>191</v>
      </c>
      <c r="C35" s="423">
        <f>SUM(GIMNAZIJŲ!C35, PROGIMNAZIJŲ!C35, PAGRINDINIŲ!C35, PRADINIŲ!C35)</f>
        <v>10</v>
      </c>
      <c r="D35" s="423">
        <f>SUM(GIMNAZIJŲ!D35, PROGIMNAZIJŲ!D35, PAGRINDINIŲ!D35, PRADINIŲ!D35)</f>
        <v>104129</v>
      </c>
      <c r="E35" s="423">
        <f>SUM(GIMNAZIJŲ!E35, PROGIMNAZIJŲ!E35, PAGRINDINIŲ!E35, PRADINIŲ!E35)</f>
        <v>3723</v>
      </c>
      <c r="F35" s="423">
        <f>SUM(GIMNAZIJŲ!F35, PROGIMNAZIJŲ!F35, PAGRINDINIŲ!F35, PRADINIŲ!F35)</f>
        <v>42928</v>
      </c>
      <c r="G35" s="423">
        <f>SUM(GIMNAZIJŲ!G35, PROGIMNAZIJŲ!G35, PAGRINDINIŲ!G35, PRADINIŲ!G35)</f>
        <v>66041</v>
      </c>
      <c r="H35" s="423">
        <f>SUM(GIMNAZIJŲ!H35, PROGIMNAZIJŲ!H35, PAGRINDINIŲ!H35, PRADINIŲ!H35)</f>
        <v>14</v>
      </c>
      <c r="I35" s="423">
        <f>SUM(GIMNAZIJŲ!I35, PROGIMNAZIJŲ!I35, PAGRINDINIŲ!I35, PRADINIŲ!I35)</f>
        <v>9</v>
      </c>
      <c r="J35" s="433">
        <f>SUM(GIMNAZIJŲ!J35, PROGIMNAZIJŲ!J35, PAGRINDINIŲ!J35, PRADINIŲ!J35)</f>
        <v>9</v>
      </c>
    </row>
    <row r="36" spans="2:10" ht="14.25" customHeight="1" x14ac:dyDescent="0.2">
      <c r="B36" s="434" t="s">
        <v>22</v>
      </c>
      <c r="C36" s="434">
        <f>SUM(C29:C35)</f>
        <v>80</v>
      </c>
      <c r="D36" s="434">
        <f t="shared" ref="D36:J36" si="2">SUM(D29:D35)</f>
        <v>803731</v>
      </c>
      <c r="E36" s="434">
        <f t="shared" si="2"/>
        <v>32455</v>
      </c>
      <c r="F36" s="434">
        <f t="shared" si="2"/>
        <v>304425</v>
      </c>
      <c r="G36" s="434">
        <f t="shared" si="2"/>
        <v>396510</v>
      </c>
      <c r="H36" s="434">
        <f t="shared" si="2"/>
        <v>113</v>
      </c>
      <c r="I36" s="434">
        <f t="shared" si="2"/>
        <v>77</v>
      </c>
      <c r="J36" s="434">
        <f t="shared" si="2"/>
        <v>77</v>
      </c>
    </row>
    <row r="37" spans="2:10" x14ac:dyDescent="0.2">
      <c r="B37" s="441" t="s">
        <v>97</v>
      </c>
      <c r="C37" s="442"/>
      <c r="D37" s="442"/>
      <c r="E37" s="442"/>
      <c r="F37" s="442"/>
      <c r="G37" s="442"/>
      <c r="H37" s="442"/>
      <c r="I37" s="442"/>
      <c r="J37" s="429"/>
    </row>
    <row r="38" spans="2:10" x14ac:dyDescent="0.2">
      <c r="B38" s="430" t="s">
        <v>98</v>
      </c>
      <c r="C38" s="423">
        <f>SUM(GIMNAZIJŲ!C38, PROGIMNAZIJŲ!C38, PAGRINDINIŲ!C38, PRADINIŲ!C38)</f>
        <v>4</v>
      </c>
      <c r="D38" s="423">
        <f>SUM(GIMNAZIJŲ!D38, PROGIMNAZIJŲ!D38, PAGRINDINIŲ!D38, PRADINIŲ!D38)</f>
        <v>43480</v>
      </c>
      <c r="E38" s="423">
        <f>SUM(GIMNAZIJŲ!E38, PROGIMNAZIJŲ!E38, PAGRINDINIŲ!E38, PRADINIŲ!E38)</f>
        <v>781</v>
      </c>
      <c r="F38" s="423">
        <f>SUM(GIMNAZIJŲ!F38, PROGIMNAZIJŲ!F38, PAGRINDINIŲ!F38, PRADINIŲ!F38)</f>
        <v>5155</v>
      </c>
      <c r="G38" s="423">
        <f>SUM(GIMNAZIJŲ!G38, PROGIMNAZIJŲ!G38, PAGRINDINIŲ!G38, PRADINIŲ!G38)</f>
        <v>9043</v>
      </c>
      <c r="H38" s="423">
        <f>SUM(GIMNAZIJŲ!H38, PROGIMNAZIJŲ!H38, PAGRINDINIŲ!H38, PRADINIŲ!H38)</f>
        <v>5</v>
      </c>
      <c r="I38" s="423">
        <f>SUM(GIMNAZIJŲ!I38, PROGIMNAZIJŲ!I38, PAGRINDINIŲ!I38, PRADINIŲ!I38)</f>
        <v>4</v>
      </c>
      <c r="J38" s="431">
        <f>SUM(GIMNAZIJŲ!J38, PROGIMNAZIJŲ!J38, PAGRINDINIŲ!J38, PRADINIŲ!J38)</f>
        <v>4</v>
      </c>
    </row>
    <row r="39" spans="2:10" x14ac:dyDescent="0.2">
      <c r="B39" s="430" t="s">
        <v>99</v>
      </c>
      <c r="C39" s="423">
        <f>SUM(GIMNAZIJŲ!C39, PROGIMNAZIJŲ!C39, PAGRINDINIŲ!C39, PRADINIŲ!C39)</f>
        <v>3</v>
      </c>
      <c r="D39" s="423">
        <f>SUM(GIMNAZIJŲ!D39, PROGIMNAZIJŲ!D39, PAGRINDINIŲ!D39, PRADINIŲ!D39)</f>
        <v>16553</v>
      </c>
      <c r="E39" s="423">
        <f>SUM(GIMNAZIJŲ!E39, PROGIMNAZIJŲ!E39, PAGRINDINIŲ!E39, PRADINIŲ!E39)</f>
        <v>694</v>
      </c>
      <c r="F39" s="423">
        <f>SUM(GIMNAZIJŲ!F39, PROGIMNAZIJŲ!F39, PAGRINDINIŲ!F39, PRADINIŲ!F39)</f>
        <v>9273</v>
      </c>
      <c r="G39" s="423">
        <f>SUM(GIMNAZIJŲ!G39, PROGIMNAZIJŲ!G39, PAGRINDINIŲ!G39, PRADINIŲ!G39)</f>
        <v>8224</v>
      </c>
      <c r="H39" s="423">
        <f>SUM(GIMNAZIJŲ!H39, PROGIMNAZIJŲ!H39, PAGRINDINIŲ!H39, PRADINIŲ!H39)</f>
        <v>4</v>
      </c>
      <c r="I39" s="423">
        <f>SUM(GIMNAZIJŲ!I39, PROGIMNAZIJŲ!I39, PAGRINDINIŲ!I39, PRADINIŲ!I39)</f>
        <v>3</v>
      </c>
      <c r="J39" s="431">
        <f>SUM(GIMNAZIJŲ!J39, PROGIMNAZIJŲ!J39, PAGRINDINIŲ!J39, PRADINIŲ!J39)</f>
        <v>3</v>
      </c>
    </row>
    <row r="40" spans="2:10" x14ac:dyDescent="0.2">
      <c r="B40" s="430" t="s">
        <v>100</v>
      </c>
      <c r="C40" s="423">
        <f>SUM(GIMNAZIJŲ!C40, PROGIMNAZIJŲ!C40, PAGRINDINIŲ!C40, PRADINIŲ!C40)</f>
        <v>14</v>
      </c>
      <c r="D40" s="423">
        <f>SUM(GIMNAZIJŲ!D40, PROGIMNAZIJŲ!D40, PAGRINDINIŲ!D40, PRADINIŲ!D40)</f>
        <v>139607</v>
      </c>
      <c r="E40" s="423">
        <f>SUM(GIMNAZIJŲ!E40, PROGIMNAZIJŲ!E40, PAGRINDINIŲ!E40, PRADINIŲ!E40)</f>
        <v>4827</v>
      </c>
      <c r="F40" s="423">
        <f>SUM(GIMNAZIJŲ!F40, PROGIMNAZIJŲ!F40, PAGRINDINIŲ!F40, PRADINIŲ!F40)</f>
        <v>41251</v>
      </c>
      <c r="G40" s="423">
        <f>SUM(GIMNAZIJŲ!G40, PROGIMNAZIJŲ!G40, PAGRINDINIŲ!G40, PRADINIŲ!G40)</f>
        <v>66810</v>
      </c>
      <c r="H40" s="423">
        <f>SUM(GIMNAZIJŲ!H40, PROGIMNAZIJŲ!H40, PAGRINDINIŲ!H40, PRADINIŲ!H40)</f>
        <v>18</v>
      </c>
      <c r="I40" s="423">
        <f>SUM(GIMNAZIJŲ!I40, PROGIMNAZIJŲ!I40, PAGRINDINIŲ!I40, PRADINIŲ!I40)</f>
        <v>14</v>
      </c>
      <c r="J40" s="431">
        <f>SUM(GIMNAZIJŲ!J40, PROGIMNAZIJŲ!J40, PAGRINDINIŲ!J40, PRADINIŲ!J40)</f>
        <v>14</v>
      </c>
    </row>
    <row r="41" spans="2:10" x14ac:dyDescent="0.2">
      <c r="B41" s="430" t="s">
        <v>192</v>
      </c>
      <c r="C41" s="423">
        <f>SUM(GIMNAZIJŲ!C41, PROGIMNAZIJŲ!C41, PAGRINDINIŲ!C41, PRADINIŲ!C41)</f>
        <v>10</v>
      </c>
      <c r="D41" s="423">
        <f>SUM(GIMNAZIJŲ!D41, PROGIMNAZIJŲ!D41, PAGRINDINIŲ!D41, PRADINIŲ!D41)</f>
        <v>119555</v>
      </c>
      <c r="E41" s="423">
        <f>SUM(GIMNAZIJŲ!E41, PROGIMNAZIJŲ!E41, PAGRINDINIŲ!E41, PRADINIŲ!E41)</f>
        <v>2848</v>
      </c>
      <c r="F41" s="423">
        <f>SUM(GIMNAZIJŲ!F41, PROGIMNAZIJŲ!F41, PAGRINDINIŲ!F41, PRADINIŲ!F41)</f>
        <v>27976</v>
      </c>
      <c r="G41" s="423">
        <f>SUM(GIMNAZIJŲ!G41, PROGIMNAZIJŲ!G41, PAGRINDINIŲ!G41, PRADINIŲ!G41)</f>
        <v>42560</v>
      </c>
      <c r="H41" s="423">
        <f>SUM(GIMNAZIJŲ!H41, PROGIMNAZIJŲ!H41, PAGRINDINIŲ!H41, PRADINIŲ!H41)</f>
        <v>13</v>
      </c>
      <c r="I41" s="423">
        <f>SUM(GIMNAZIJŲ!I41, PROGIMNAZIJŲ!I41, PAGRINDINIŲ!I41, PRADINIŲ!I41)</f>
        <v>9</v>
      </c>
      <c r="J41" s="431">
        <f>SUM(GIMNAZIJŲ!J41, PROGIMNAZIJŲ!J41, PAGRINDINIŲ!J41, PRADINIŲ!J41)</f>
        <v>9</v>
      </c>
    </row>
    <row r="42" spans="2:10" x14ac:dyDescent="0.2">
      <c r="B42" s="430" t="s">
        <v>193</v>
      </c>
      <c r="C42" s="423">
        <f>SUM(GIMNAZIJŲ!C42, PROGIMNAZIJŲ!C42, PAGRINDINIŲ!C42, PRADINIŲ!C42)</f>
        <v>13</v>
      </c>
      <c r="D42" s="423">
        <f>SUM(GIMNAZIJŲ!D42, PROGIMNAZIJŲ!D42, PAGRINDINIŲ!D42, PRADINIŲ!D42)</f>
        <v>169907</v>
      </c>
      <c r="E42" s="423">
        <f>SUM(GIMNAZIJŲ!E42, PROGIMNAZIJŲ!E42, PAGRINDINIŲ!E42, PRADINIŲ!E42)</f>
        <v>4037</v>
      </c>
      <c r="F42" s="423">
        <f>SUM(GIMNAZIJŲ!F42, PROGIMNAZIJŲ!F42, PAGRINDINIŲ!F42, PRADINIŲ!F42)</f>
        <v>28810</v>
      </c>
      <c r="G42" s="423">
        <f>SUM(GIMNAZIJŲ!G42, PROGIMNAZIJŲ!G42, PAGRINDINIŲ!G42, PRADINIŲ!G42)</f>
        <v>88104</v>
      </c>
      <c r="H42" s="423">
        <f>SUM(GIMNAZIJŲ!H42, PROGIMNAZIJŲ!H42, PAGRINDINIŲ!H42, PRADINIŲ!H42)</f>
        <v>21</v>
      </c>
      <c r="I42" s="423">
        <f>SUM(GIMNAZIJŲ!I42, PROGIMNAZIJŲ!I42, PAGRINDINIŲ!I42, PRADINIŲ!I42)</f>
        <v>13</v>
      </c>
      <c r="J42" s="433">
        <f>SUM(GIMNAZIJŲ!J42, PROGIMNAZIJŲ!J42, PAGRINDINIŲ!J42, PRADINIŲ!J42)</f>
        <v>13</v>
      </c>
    </row>
    <row r="43" spans="2:10" ht="15" customHeight="1" x14ac:dyDescent="0.2">
      <c r="B43" s="434" t="s">
        <v>22</v>
      </c>
      <c r="C43" s="434">
        <f>SUM(C38:C42)</f>
        <v>44</v>
      </c>
      <c r="D43" s="434">
        <f t="shared" ref="D43:J43" si="3">SUM(D38:D42)</f>
        <v>489102</v>
      </c>
      <c r="E43" s="434">
        <f t="shared" si="3"/>
        <v>13187</v>
      </c>
      <c r="F43" s="434">
        <f t="shared" si="3"/>
        <v>112465</v>
      </c>
      <c r="G43" s="434">
        <f t="shared" si="3"/>
        <v>214741</v>
      </c>
      <c r="H43" s="434">
        <f t="shared" si="3"/>
        <v>61</v>
      </c>
      <c r="I43" s="434">
        <f t="shared" si="3"/>
        <v>43</v>
      </c>
      <c r="J43" s="434">
        <f t="shared" si="3"/>
        <v>43</v>
      </c>
    </row>
    <row r="44" spans="2:10" x14ac:dyDescent="0.2">
      <c r="B44" s="441" t="s">
        <v>154</v>
      </c>
      <c r="C44" s="442"/>
      <c r="D44" s="442"/>
      <c r="E44" s="442"/>
      <c r="F44" s="442"/>
      <c r="G44" s="442"/>
      <c r="H44" s="442"/>
      <c r="I44" s="442"/>
      <c r="J44" s="429"/>
    </row>
    <row r="45" spans="2:10" x14ac:dyDescent="0.2">
      <c r="B45" s="430" t="s">
        <v>194</v>
      </c>
      <c r="C45" s="423">
        <f>SUM(GIMNAZIJŲ!C45, PROGIMNAZIJŲ!C45, PAGRINDINIŲ!C45, PRADINIŲ!C45)</f>
        <v>5</v>
      </c>
      <c r="D45" s="423">
        <f>SUM(GIMNAZIJŲ!D45, PROGIMNAZIJŲ!D45, PAGRINDINIŲ!D45, PRADINIŲ!D45)</f>
        <v>120256</v>
      </c>
      <c r="E45" s="423">
        <f>SUM(GIMNAZIJŲ!E45, PROGIMNAZIJŲ!E45, PAGRINDINIŲ!E45, PRADINIŲ!E45)</f>
        <v>2280</v>
      </c>
      <c r="F45" s="423">
        <f>SUM(GIMNAZIJŲ!F45, PROGIMNAZIJŲ!F45, PAGRINDINIŲ!F45, PRADINIŲ!F45)</f>
        <v>19517</v>
      </c>
      <c r="G45" s="423">
        <f>SUM(GIMNAZIJŲ!G45, PROGIMNAZIJŲ!G45, PAGRINDINIŲ!G45, PRADINIŲ!G45)</f>
        <v>20693</v>
      </c>
      <c r="H45" s="423">
        <f>SUM(GIMNAZIJŲ!H45, PROGIMNAZIJŲ!H45, PAGRINDINIŲ!H45, PRADINIŲ!H45)</f>
        <v>10</v>
      </c>
      <c r="I45" s="423">
        <f>SUM(GIMNAZIJŲ!I45, PROGIMNAZIJŲ!I45, PAGRINDINIŲ!I45, PRADINIŲ!I45)</f>
        <v>5</v>
      </c>
      <c r="J45" s="431">
        <f>SUM(GIMNAZIJŲ!J45, PROGIMNAZIJŲ!J45, PAGRINDINIŲ!J45, PRADINIŲ!J45)</f>
        <v>5</v>
      </c>
    </row>
    <row r="46" spans="2:10" x14ac:dyDescent="0.2">
      <c r="B46" s="430" t="s">
        <v>195</v>
      </c>
      <c r="C46" s="423">
        <f>SUM(GIMNAZIJŲ!C46, PROGIMNAZIJŲ!C46, PAGRINDINIŲ!C46, PRADINIŲ!C46)</f>
        <v>4</v>
      </c>
      <c r="D46" s="423">
        <f>SUM(GIMNAZIJŲ!D46, PROGIMNAZIJŲ!D46, PAGRINDINIŲ!D46, PRADINIŲ!D46)</f>
        <v>39045</v>
      </c>
      <c r="E46" s="423">
        <f>SUM(GIMNAZIJŲ!E46, PROGIMNAZIJŲ!E46, PAGRINDINIŲ!E46, PRADINIŲ!E46)</f>
        <v>1297</v>
      </c>
      <c r="F46" s="423">
        <f>SUM(GIMNAZIJŲ!F46, PROGIMNAZIJŲ!F46, PAGRINDINIŲ!F46, PRADINIŲ!F46)</f>
        <v>14209</v>
      </c>
      <c r="G46" s="423">
        <f>SUM(GIMNAZIJŲ!G46, PROGIMNAZIJŲ!G46, PAGRINDINIŲ!G46, PRADINIŲ!G46)</f>
        <v>11728</v>
      </c>
      <c r="H46" s="423">
        <f>SUM(GIMNAZIJŲ!H46, PROGIMNAZIJŲ!H46, PAGRINDINIŲ!H46, PRADINIŲ!H46)</f>
        <v>6</v>
      </c>
      <c r="I46" s="423">
        <f>SUM(GIMNAZIJŲ!I46, PROGIMNAZIJŲ!I46, PAGRINDINIŲ!I46, PRADINIŲ!I46)</f>
        <v>4</v>
      </c>
      <c r="J46" s="431">
        <f>SUM(GIMNAZIJŲ!J46, PROGIMNAZIJŲ!J46, PAGRINDINIŲ!J46, PRADINIŲ!J46)</f>
        <v>4</v>
      </c>
    </row>
    <row r="47" spans="2:10" x14ac:dyDescent="0.2">
      <c r="B47" s="430" t="s">
        <v>102</v>
      </c>
      <c r="C47" s="423">
        <f>SUM(GIMNAZIJŲ!C47, PROGIMNAZIJŲ!C47, PAGRINDINIŲ!C47, PRADINIŲ!C47)</f>
        <v>20</v>
      </c>
      <c r="D47" s="423">
        <f>SUM(GIMNAZIJŲ!D47, PROGIMNAZIJŲ!D47, PAGRINDINIŲ!D47, PRADINIŲ!D47)</f>
        <v>213526</v>
      </c>
      <c r="E47" s="423">
        <f>SUM(GIMNAZIJŲ!E47, PROGIMNAZIJŲ!E47, PAGRINDINIŲ!E47, PRADINIŲ!E47)</f>
        <v>8766</v>
      </c>
      <c r="F47" s="423">
        <f>SUM(GIMNAZIJŲ!F47, PROGIMNAZIJŲ!F47, PAGRINDINIŲ!F47, PRADINIŲ!F47)</f>
        <v>93127</v>
      </c>
      <c r="G47" s="423">
        <f>SUM(GIMNAZIJŲ!G47, PROGIMNAZIJŲ!G47, PAGRINDINIŲ!G47, PRADINIŲ!G47)</f>
        <v>157312</v>
      </c>
      <c r="H47" s="423">
        <f>SUM(GIMNAZIJŲ!H47, PROGIMNAZIJŲ!H47, PAGRINDINIŲ!H47, PRADINIŲ!H47)</f>
        <v>31</v>
      </c>
      <c r="I47" s="423">
        <f>SUM(GIMNAZIJŲ!I47, PROGIMNAZIJŲ!I47, PAGRINDINIŲ!I47, PRADINIŲ!I47)</f>
        <v>20</v>
      </c>
      <c r="J47" s="431">
        <f>SUM(GIMNAZIJŲ!J47, PROGIMNAZIJŲ!J47, PAGRINDINIŲ!J47, PRADINIŲ!J47)</f>
        <v>20</v>
      </c>
    </row>
    <row r="48" spans="2:10" x14ac:dyDescent="0.2">
      <c r="B48" s="430" t="s">
        <v>196</v>
      </c>
      <c r="C48" s="423">
        <f>SUM(GIMNAZIJŲ!C48, PROGIMNAZIJŲ!C48, PAGRINDINIŲ!C48, PRADINIŲ!C48)</f>
        <v>12</v>
      </c>
      <c r="D48" s="423">
        <f>SUM(GIMNAZIJŲ!D48, PROGIMNAZIJŲ!D48, PAGRINDINIŲ!D48, PRADINIŲ!D48)</f>
        <v>125552</v>
      </c>
      <c r="E48" s="423">
        <f>SUM(GIMNAZIJŲ!E48, PROGIMNAZIJŲ!E48, PAGRINDINIŲ!E48, PRADINIŲ!E48)</f>
        <v>2559</v>
      </c>
      <c r="F48" s="423">
        <f>SUM(GIMNAZIJŲ!F48, PROGIMNAZIJŲ!F48, PAGRINDINIŲ!F48, PRADINIŲ!F48)</f>
        <v>34747</v>
      </c>
      <c r="G48" s="423">
        <f>SUM(GIMNAZIJŲ!G48, PROGIMNAZIJŲ!G48, PAGRINDINIŲ!G48, PRADINIŲ!G48)</f>
        <v>29659</v>
      </c>
      <c r="H48" s="423">
        <f>SUM(GIMNAZIJŲ!H48, PROGIMNAZIJŲ!H48, PAGRINDINIŲ!H48, PRADINIŲ!H48)</f>
        <v>15</v>
      </c>
      <c r="I48" s="423">
        <f>SUM(GIMNAZIJŲ!I48, PROGIMNAZIJŲ!I48, PAGRINDINIŲ!I48, PRADINIŲ!I48)</f>
        <v>10</v>
      </c>
      <c r="J48" s="431">
        <f>SUM(GIMNAZIJŲ!J48, PROGIMNAZIJŲ!J48, PAGRINDINIŲ!J48, PRADINIŲ!J48)</f>
        <v>10</v>
      </c>
    </row>
    <row r="49" spans="2:10" x14ac:dyDescent="0.2">
      <c r="B49" s="430" t="s">
        <v>197</v>
      </c>
      <c r="C49" s="423">
        <f>SUM(GIMNAZIJŲ!C49, PROGIMNAZIJŲ!C49, PAGRINDINIŲ!C49, PRADINIŲ!C49)</f>
        <v>9</v>
      </c>
      <c r="D49" s="423">
        <f>SUM(GIMNAZIJŲ!D49, PROGIMNAZIJŲ!D49, PAGRINDINIŲ!D49, PRADINIŲ!D49)</f>
        <v>118732</v>
      </c>
      <c r="E49" s="423">
        <f>SUM(GIMNAZIJŲ!E49, PROGIMNAZIJŲ!E49, PAGRINDINIŲ!E49, PRADINIŲ!E49)</f>
        <v>2393</v>
      </c>
      <c r="F49" s="423">
        <f>SUM(GIMNAZIJŲ!F49, PROGIMNAZIJŲ!F49, PAGRINDINIŲ!F49, PRADINIŲ!F49)</f>
        <v>23171</v>
      </c>
      <c r="G49" s="423">
        <f>SUM(GIMNAZIJŲ!G49, PROGIMNAZIJŲ!G49, PAGRINDINIŲ!G49, PRADINIŲ!G49)</f>
        <v>50628</v>
      </c>
      <c r="H49" s="423">
        <f>SUM(GIMNAZIJŲ!H49, PROGIMNAZIJŲ!H49, PAGRINDINIŲ!H49, PRADINIŲ!H49)</f>
        <v>11</v>
      </c>
      <c r="I49" s="423">
        <f>SUM(GIMNAZIJŲ!I49, PROGIMNAZIJŲ!I49, PAGRINDINIŲ!I49, PRADINIŲ!I49)</f>
        <v>9</v>
      </c>
      <c r="J49" s="431">
        <f>SUM(GIMNAZIJŲ!J49, PROGIMNAZIJŲ!J49, PAGRINDINIŲ!J49, PRADINIŲ!J49)</f>
        <v>9</v>
      </c>
    </row>
    <row r="50" spans="2:10" x14ac:dyDescent="0.2">
      <c r="B50" s="430" t="s">
        <v>198</v>
      </c>
      <c r="C50" s="423">
        <f>SUM(GIMNAZIJŲ!C50, PROGIMNAZIJŲ!C50, PAGRINDINIŲ!C50, PRADINIŲ!C50)</f>
        <v>8</v>
      </c>
      <c r="D50" s="423">
        <f>SUM(GIMNAZIJŲ!D50, PROGIMNAZIJŲ!D50, PAGRINDINIŲ!D50, PRADINIŲ!D50)</f>
        <v>107337</v>
      </c>
      <c r="E50" s="423">
        <f>SUM(GIMNAZIJŲ!E50, PROGIMNAZIJŲ!E50, PAGRINDINIŲ!E50, PRADINIŲ!E50)</f>
        <v>2357</v>
      </c>
      <c r="F50" s="423">
        <f>SUM(GIMNAZIJŲ!F50, PROGIMNAZIJŲ!F50, PAGRINDINIŲ!F50, PRADINIŲ!F50)</f>
        <v>24170</v>
      </c>
      <c r="G50" s="423">
        <f>SUM(GIMNAZIJŲ!G50, PROGIMNAZIJŲ!G50, PAGRINDINIŲ!G50, PRADINIŲ!G50)</f>
        <v>25062</v>
      </c>
      <c r="H50" s="423">
        <f>SUM(GIMNAZIJŲ!H50, PROGIMNAZIJŲ!H50, PAGRINDINIŲ!H50, PRADINIŲ!H50)</f>
        <v>12</v>
      </c>
      <c r="I50" s="423">
        <f>SUM(GIMNAZIJŲ!I50, PROGIMNAZIJŲ!I50, PAGRINDINIŲ!I50, PRADINIŲ!I50)</f>
        <v>8</v>
      </c>
      <c r="J50" s="433">
        <f>SUM(GIMNAZIJŲ!J50, PROGIMNAZIJŲ!J50, PAGRINDINIŲ!J50, PRADINIŲ!J50)</f>
        <v>8</v>
      </c>
    </row>
    <row r="51" spans="2:10" ht="16.5" customHeight="1" x14ac:dyDescent="0.2">
      <c r="B51" s="434" t="s">
        <v>22</v>
      </c>
      <c r="C51" s="434">
        <f>SUM(C45:C50)</f>
        <v>58</v>
      </c>
      <c r="D51" s="434">
        <f t="shared" ref="D51:J51" si="4">SUM(D45:D50)</f>
        <v>724448</v>
      </c>
      <c r="E51" s="434">
        <f t="shared" si="4"/>
        <v>19652</v>
      </c>
      <c r="F51" s="434">
        <f t="shared" si="4"/>
        <v>208941</v>
      </c>
      <c r="G51" s="434">
        <f t="shared" si="4"/>
        <v>295082</v>
      </c>
      <c r="H51" s="434">
        <f t="shared" si="4"/>
        <v>85</v>
      </c>
      <c r="I51" s="434">
        <f t="shared" si="4"/>
        <v>56</v>
      </c>
      <c r="J51" s="434">
        <f t="shared" si="4"/>
        <v>56</v>
      </c>
    </row>
    <row r="52" spans="2:10" x14ac:dyDescent="0.2">
      <c r="B52" s="423"/>
      <c r="C52" s="423"/>
      <c r="D52" s="423"/>
      <c r="E52" s="423"/>
      <c r="F52" s="423"/>
      <c r="G52" s="423"/>
      <c r="H52" s="423"/>
      <c r="I52" s="423"/>
      <c r="J52" s="423"/>
    </row>
    <row r="53" spans="2:10" x14ac:dyDescent="0.2">
      <c r="B53" s="423"/>
      <c r="C53" s="423"/>
      <c r="D53" s="423"/>
      <c r="E53" s="423"/>
      <c r="F53" s="423"/>
      <c r="G53" s="423"/>
      <c r="H53" s="423"/>
      <c r="I53" s="423"/>
      <c r="J53" s="423"/>
    </row>
    <row r="54" spans="2:10" x14ac:dyDescent="0.2">
      <c r="B54" s="423"/>
      <c r="C54" s="423"/>
      <c r="D54" s="423"/>
      <c r="E54" s="423"/>
      <c r="F54" s="423"/>
      <c r="G54" s="423"/>
      <c r="H54" s="423"/>
      <c r="I54" s="423"/>
      <c r="J54" s="423"/>
    </row>
    <row r="55" spans="2:10" x14ac:dyDescent="0.2">
      <c r="B55" s="423"/>
      <c r="C55" s="423"/>
      <c r="D55" s="423"/>
      <c r="E55" s="423"/>
      <c r="F55" s="423"/>
      <c r="G55" s="423"/>
      <c r="H55" s="423"/>
      <c r="I55" s="423"/>
      <c r="J55" s="423"/>
    </row>
    <row r="56" spans="2:10" x14ac:dyDescent="0.2">
      <c r="B56" s="423"/>
      <c r="C56" s="423"/>
      <c r="D56" s="423"/>
      <c r="E56" s="423"/>
      <c r="F56" s="423"/>
      <c r="G56" s="423"/>
      <c r="H56" s="423"/>
      <c r="I56" s="423"/>
      <c r="J56" s="423"/>
    </row>
    <row r="57" spans="2:10" x14ac:dyDescent="0.2">
      <c r="B57" s="423"/>
      <c r="C57" s="423"/>
      <c r="D57" s="423"/>
      <c r="E57" s="423"/>
      <c r="F57" s="423"/>
      <c r="G57" s="423"/>
      <c r="H57" s="423"/>
      <c r="I57" s="423"/>
      <c r="J57" s="423"/>
    </row>
    <row r="58" spans="2:10" x14ac:dyDescent="0.2">
      <c r="B58" s="423"/>
      <c r="C58" s="42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2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23"/>
      <c r="D60" s="423"/>
      <c r="E60" s="423"/>
      <c r="F60" s="423"/>
      <c r="G60" s="423"/>
      <c r="H60" s="423"/>
      <c r="I60" s="423"/>
      <c r="J60" s="423"/>
    </row>
    <row r="61" spans="2:10" x14ac:dyDescent="0.2">
      <c r="B61" s="443"/>
      <c r="C61" s="423"/>
      <c r="D61" s="423"/>
      <c r="E61" s="423"/>
      <c r="F61" s="423"/>
      <c r="G61" s="423"/>
      <c r="H61" s="423"/>
      <c r="I61" s="423"/>
      <c r="J61" s="423"/>
    </row>
    <row r="62" spans="2:10" s="175" customFormat="1" ht="15.75" x14ac:dyDescent="0.25">
      <c r="B62" s="1006"/>
      <c r="C62" s="1006"/>
      <c r="D62" s="1006"/>
      <c r="E62" s="1006"/>
      <c r="F62" s="1006"/>
      <c r="G62" s="1006"/>
      <c r="H62" s="1006"/>
      <c r="I62" s="1006"/>
      <c r="J62" s="1006"/>
    </row>
    <row r="63" spans="2:10" s="175" customFormat="1" ht="15.75" x14ac:dyDescent="0.25">
      <c r="B63" s="557"/>
      <c r="C63" s="557"/>
      <c r="D63" s="557"/>
      <c r="E63" s="557"/>
      <c r="F63" s="557"/>
      <c r="G63" s="557"/>
      <c r="H63" s="557"/>
      <c r="I63" s="557"/>
      <c r="J63" s="557"/>
    </row>
    <row r="64" spans="2:10" s="175" customFormat="1" ht="15.75" x14ac:dyDescent="0.25">
      <c r="B64" s="557"/>
      <c r="C64" s="557"/>
      <c r="D64" s="557"/>
      <c r="E64" s="557"/>
      <c r="F64" s="557"/>
      <c r="G64" s="557"/>
      <c r="H64" s="557"/>
      <c r="I64" s="557"/>
      <c r="J64" s="557"/>
    </row>
    <row r="65" spans="2:12" s="175" customFormat="1" ht="15.75" x14ac:dyDescent="0.25">
      <c r="B65" s="557"/>
      <c r="C65" s="557"/>
      <c r="D65" s="557"/>
      <c r="E65" s="557"/>
      <c r="F65" s="557"/>
      <c r="G65" s="557"/>
      <c r="H65" s="557"/>
      <c r="I65" s="557"/>
      <c r="J65" s="557"/>
    </row>
    <row r="66" spans="2:12" s="175" customFormat="1" ht="15.75" x14ac:dyDescent="0.25">
      <c r="B66" s="444"/>
      <c r="C66" s="176"/>
      <c r="D66" s="176"/>
      <c r="E66" s="176"/>
      <c r="F66" s="176"/>
      <c r="G66" s="176"/>
      <c r="H66" s="176"/>
      <c r="I66" s="1006"/>
      <c r="J66" s="1006"/>
    </row>
    <row r="67" spans="2:12" s="425" customFormat="1" ht="11.25" x14ac:dyDescent="0.2">
      <c r="B67" s="968" t="s">
        <v>84</v>
      </c>
      <c r="C67" s="968" t="s">
        <v>85</v>
      </c>
      <c r="D67" s="968" t="s">
        <v>67</v>
      </c>
      <c r="E67" s="968" t="s">
        <v>68</v>
      </c>
      <c r="F67" s="968" t="s">
        <v>69</v>
      </c>
      <c r="G67" s="968" t="s">
        <v>70</v>
      </c>
      <c r="H67" s="968" t="s">
        <v>71</v>
      </c>
      <c r="I67" s="1001" t="s">
        <v>72</v>
      </c>
      <c r="J67" s="1002"/>
      <c r="K67" s="424"/>
      <c r="L67" s="424"/>
    </row>
    <row r="68" spans="2:12" s="425" customFormat="1" ht="11.25" x14ac:dyDescent="0.2">
      <c r="B68" s="969"/>
      <c r="C68" s="969"/>
      <c r="D68" s="969"/>
      <c r="E68" s="969"/>
      <c r="F68" s="969"/>
      <c r="G68" s="969"/>
      <c r="H68" s="969"/>
      <c r="I68" s="1003"/>
      <c r="J68" s="1004"/>
      <c r="K68" s="424"/>
      <c r="L68" s="424"/>
    </row>
    <row r="69" spans="2:12" s="425" customFormat="1" ht="11.25" x14ac:dyDescent="0.2">
      <c r="B69" s="970"/>
      <c r="C69" s="970"/>
      <c r="D69" s="970"/>
      <c r="E69" s="970"/>
      <c r="F69" s="970"/>
      <c r="G69" s="970"/>
      <c r="H69" s="970"/>
      <c r="I69" s="426" t="s">
        <v>73</v>
      </c>
      <c r="J69" s="427" t="s">
        <v>86</v>
      </c>
      <c r="K69" s="424"/>
      <c r="L69" s="424"/>
    </row>
    <row r="70" spans="2:12" x14ac:dyDescent="0.2">
      <c r="B70" s="445">
        <v>1</v>
      </c>
      <c r="C70" s="436">
        <v>2</v>
      </c>
      <c r="D70" s="446">
        <v>3</v>
      </c>
      <c r="E70" s="436">
        <v>4</v>
      </c>
      <c r="F70" s="436">
        <v>5</v>
      </c>
      <c r="G70" s="436">
        <v>6</v>
      </c>
      <c r="H70" s="436">
        <v>7</v>
      </c>
      <c r="I70" s="436">
        <v>8</v>
      </c>
      <c r="J70" s="436">
        <v>9</v>
      </c>
      <c r="K70" s="437"/>
      <c r="L70" s="437"/>
    </row>
    <row r="71" spans="2:12" x14ac:dyDescent="0.2">
      <c r="B71" s="441" t="s">
        <v>155</v>
      </c>
      <c r="C71" s="442"/>
      <c r="D71" s="442"/>
      <c r="E71" s="442"/>
      <c r="F71" s="442"/>
      <c r="G71" s="442"/>
      <c r="H71" s="442"/>
      <c r="I71" s="442"/>
      <c r="J71" s="429"/>
      <c r="K71" s="437"/>
      <c r="L71" s="437"/>
    </row>
    <row r="72" spans="2:12" x14ac:dyDescent="0.2">
      <c r="B72" s="430" t="s">
        <v>199</v>
      </c>
      <c r="C72" s="423">
        <f>SUM(GIMNAZIJŲ!C73, PROGIMNAZIJŲ!C73, PAGRINDINIŲ!C74, PRADINIŲ!C72)</f>
        <v>8</v>
      </c>
      <c r="D72" s="423">
        <f>SUM(GIMNAZIJŲ!D73, PROGIMNAZIJŲ!D73, PAGRINDINIŲ!D74, PRADINIŲ!D72)</f>
        <v>92842</v>
      </c>
      <c r="E72" s="423">
        <f>SUM(GIMNAZIJŲ!E73, PROGIMNAZIJŲ!E73, PAGRINDINIŲ!E74, PRADINIŲ!E72)</f>
        <v>2153</v>
      </c>
      <c r="F72" s="423">
        <f>SUM(GIMNAZIJŲ!F73, PROGIMNAZIJŲ!F73, PAGRINDINIŲ!F74, PRADINIŲ!F72)</f>
        <v>12802</v>
      </c>
      <c r="G72" s="423">
        <f>SUM(GIMNAZIJŲ!G73, PROGIMNAZIJŲ!G73, PAGRINDINIŲ!G74, PRADINIŲ!G72)</f>
        <v>25677</v>
      </c>
      <c r="H72" s="423">
        <f>SUM(GIMNAZIJŲ!H73, PROGIMNAZIJŲ!H73, PAGRINDINIŲ!H74, PRADINIŲ!H72)</f>
        <v>9</v>
      </c>
      <c r="I72" s="423">
        <f>SUM(GIMNAZIJŲ!I73, PROGIMNAZIJŲ!I73, PAGRINDINIŲ!I74, PRADINIŲ!I72)</f>
        <v>7</v>
      </c>
      <c r="J72" s="431">
        <f>SUM(GIMNAZIJŲ!J73, PROGIMNAZIJŲ!J73, PAGRINDINIŲ!J74, PRADINIŲ!J72)</f>
        <v>7</v>
      </c>
      <c r="K72" s="437"/>
      <c r="L72" s="437"/>
    </row>
    <row r="73" spans="2:12" x14ac:dyDescent="0.2">
      <c r="B73" s="430" t="s">
        <v>200</v>
      </c>
      <c r="C73" s="423">
        <f>SUM(GIMNAZIJŲ!C74, PROGIMNAZIJŲ!C74, PAGRINDINIŲ!C75, PRADINIŲ!C73)</f>
        <v>7</v>
      </c>
      <c r="D73" s="423">
        <f>SUM(GIMNAZIJŲ!D74, PROGIMNAZIJŲ!D74, PAGRINDINIŲ!D75, PRADINIŲ!D73)</f>
        <v>83940</v>
      </c>
      <c r="E73" s="423">
        <f>SUM(GIMNAZIJŲ!E74, PROGIMNAZIJŲ!E74, PAGRINDINIŲ!E75, PRADINIŲ!E73)</f>
        <v>1874</v>
      </c>
      <c r="F73" s="423">
        <f>SUM(GIMNAZIJŲ!F74, PROGIMNAZIJŲ!F74, PAGRINDINIŲ!F75, PRADINIŲ!F73)</f>
        <v>10975</v>
      </c>
      <c r="G73" s="423">
        <f>SUM(GIMNAZIJŲ!G74, PROGIMNAZIJŲ!G74, PAGRINDINIŲ!G75, PRADINIŲ!G73)</f>
        <v>9637</v>
      </c>
      <c r="H73" s="423">
        <f>SUM(GIMNAZIJŲ!H74, PROGIMNAZIJŲ!H74, PAGRINDINIŲ!H75, PRADINIŲ!H73)</f>
        <v>8</v>
      </c>
      <c r="I73" s="423">
        <f>SUM(GIMNAZIJŲ!I74, PROGIMNAZIJŲ!I74, PAGRINDINIŲ!I75, PRADINIŲ!I73)</f>
        <v>7</v>
      </c>
      <c r="J73" s="431">
        <f>SUM(GIMNAZIJŲ!J74, PROGIMNAZIJŲ!J74, PAGRINDINIŲ!J75, PRADINIŲ!J73)</f>
        <v>7</v>
      </c>
      <c r="K73" s="437"/>
      <c r="L73" s="437"/>
    </row>
    <row r="74" spans="2:12" x14ac:dyDescent="0.2">
      <c r="B74" s="430" t="s">
        <v>201</v>
      </c>
      <c r="C74" s="423">
        <f>SUM(GIMNAZIJŲ!C75, PROGIMNAZIJŲ!C75, PAGRINDINIŲ!C76, PRADINIŲ!C74)</f>
        <v>8</v>
      </c>
      <c r="D74" s="423">
        <f>SUM(GIMNAZIJŲ!D75, PROGIMNAZIJŲ!D75, PAGRINDINIŲ!D76, PRADINIŲ!D74)</f>
        <v>93879</v>
      </c>
      <c r="E74" s="423">
        <f>SUM(GIMNAZIJŲ!E75, PROGIMNAZIJŲ!E75, PAGRINDINIŲ!E76, PRADINIŲ!E74)</f>
        <v>1857</v>
      </c>
      <c r="F74" s="423">
        <f>SUM(GIMNAZIJŲ!F75, PROGIMNAZIJŲ!F75, PAGRINDINIŲ!F76, PRADINIŲ!F74)</f>
        <v>15603</v>
      </c>
      <c r="G74" s="423">
        <f>SUM(GIMNAZIJŲ!G75, PROGIMNAZIJŲ!G75, PAGRINDINIŲ!G76, PRADINIŲ!G74)</f>
        <v>24690</v>
      </c>
      <c r="H74" s="423">
        <f>SUM(GIMNAZIJŲ!H75, PROGIMNAZIJŲ!H75, PAGRINDINIŲ!H76, PRADINIŲ!H74)</f>
        <v>11</v>
      </c>
      <c r="I74" s="423">
        <f>SUM(GIMNAZIJŲ!I75, PROGIMNAZIJŲ!I75, PAGRINDINIŲ!I76, PRADINIŲ!I74)</f>
        <v>8</v>
      </c>
      <c r="J74" s="431">
        <f>SUM(GIMNAZIJŲ!J75, PROGIMNAZIJŲ!J75, PAGRINDINIŲ!J76, PRADINIŲ!J74)</f>
        <v>8</v>
      </c>
      <c r="K74" s="437"/>
      <c r="L74" s="437"/>
    </row>
    <row r="75" spans="2:12" x14ac:dyDescent="0.2">
      <c r="B75" s="430" t="s">
        <v>202</v>
      </c>
      <c r="C75" s="423">
        <f>SUM(GIMNAZIJŲ!C76, PROGIMNAZIJŲ!C76, PAGRINDINIŲ!C77, PRADINIŲ!C75)</f>
        <v>8</v>
      </c>
      <c r="D75" s="423">
        <f>SUM(GIMNAZIJŲ!D76, PROGIMNAZIJŲ!D76, PAGRINDINIŲ!D77, PRADINIŲ!D75)</f>
        <v>74881</v>
      </c>
      <c r="E75" s="423">
        <f>SUM(GIMNAZIJŲ!E76, PROGIMNAZIJŲ!E76, PAGRINDINIŲ!E77, PRADINIŲ!E75)</f>
        <v>1402</v>
      </c>
      <c r="F75" s="423">
        <f>SUM(GIMNAZIJŲ!F76, PROGIMNAZIJŲ!F76, PAGRINDINIŲ!F77, PRADINIŲ!F75)</f>
        <v>13752</v>
      </c>
      <c r="G75" s="423">
        <f>SUM(GIMNAZIJŲ!G76, PROGIMNAZIJŲ!G76, PAGRINDINIŲ!G77, PRADINIŲ!G75)</f>
        <v>28301</v>
      </c>
      <c r="H75" s="423">
        <f>SUM(GIMNAZIJŲ!H76, PROGIMNAZIJŲ!H76, PAGRINDINIŲ!H77, PRADINIŲ!H75)</f>
        <v>8</v>
      </c>
      <c r="I75" s="423">
        <f>SUM(GIMNAZIJŲ!I76, PROGIMNAZIJŲ!I76, PAGRINDINIŲ!I77, PRADINIŲ!I75)</f>
        <v>8</v>
      </c>
      <c r="J75" s="431">
        <f>SUM(GIMNAZIJŲ!J76, PROGIMNAZIJŲ!J76, PAGRINDINIŲ!J77, PRADINIŲ!J75)</f>
        <v>8</v>
      </c>
      <c r="K75" s="437"/>
      <c r="L75" s="437"/>
    </row>
    <row r="76" spans="2:12" x14ac:dyDescent="0.2">
      <c r="B76" s="430" t="s">
        <v>203</v>
      </c>
      <c r="C76" s="423">
        <f>SUM(GIMNAZIJŲ!C77, PROGIMNAZIJŲ!C77, PAGRINDINIŲ!C78, PRADINIŲ!C76)</f>
        <v>11</v>
      </c>
      <c r="D76" s="423">
        <f>SUM(GIMNAZIJŲ!D77, PROGIMNAZIJŲ!D77, PAGRINDINIŲ!D78, PRADINIŲ!D76)</f>
        <v>111233</v>
      </c>
      <c r="E76" s="423">
        <f>SUM(GIMNAZIJŲ!E77, PROGIMNAZIJŲ!E77, PAGRINDINIŲ!E78, PRADINIŲ!E76)</f>
        <v>3745</v>
      </c>
      <c r="F76" s="423">
        <f>SUM(GIMNAZIJŲ!F77, PROGIMNAZIJŲ!F77, PAGRINDINIŲ!F78, PRADINIŲ!F76)</f>
        <v>44579</v>
      </c>
      <c r="G76" s="423">
        <f>SUM(GIMNAZIJŲ!G77, PROGIMNAZIJŲ!G77, PAGRINDINIŲ!G78, PRADINIŲ!G76)</f>
        <v>78734</v>
      </c>
      <c r="H76" s="423">
        <f>SUM(GIMNAZIJŲ!H77, PROGIMNAZIJŲ!H77, PAGRINDINIŲ!H78, PRADINIŲ!H76)</f>
        <v>13</v>
      </c>
      <c r="I76" s="423">
        <f>SUM(GIMNAZIJŲ!I77, PROGIMNAZIJŲ!I77, PAGRINDINIŲ!I78, PRADINIŲ!I76)</f>
        <v>11</v>
      </c>
      <c r="J76" s="431">
        <f>SUM(GIMNAZIJŲ!J77, PROGIMNAZIJŲ!J77, PAGRINDINIŲ!J78, PRADINIŲ!J76)</f>
        <v>11</v>
      </c>
      <c r="K76" s="437"/>
      <c r="L76" s="437"/>
    </row>
    <row r="77" spans="2:12" x14ac:dyDescent="0.2">
      <c r="B77" s="430" t="s">
        <v>104</v>
      </c>
      <c r="C77" s="423">
        <f>SUM(GIMNAZIJŲ!C78, PROGIMNAZIJŲ!C78, PAGRINDINIŲ!C79, PRADINIŲ!C77)</f>
        <v>29</v>
      </c>
      <c r="D77" s="423">
        <f>SUM(GIMNAZIJŲ!D78, PROGIMNAZIJŲ!D78, PAGRINDINIŲ!D79, PRADINIŲ!D77)</f>
        <v>272321</v>
      </c>
      <c r="E77" s="423">
        <f>SUM(GIMNAZIJŲ!E78, PROGIMNAZIJŲ!E78, PAGRINDINIŲ!E79, PRADINIŲ!E77)</f>
        <v>13639</v>
      </c>
      <c r="F77" s="423">
        <f>SUM(GIMNAZIJŲ!F78, PROGIMNAZIJŲ!F78, PAGRINDINIŲ!F79, PRADINIŲ!F77)</f>
        <v>124855</v>
      </c>
      <c r="G77" s="423">
        <f>SUM(GIMNAZIJŲ!G78, PROGIMNAZIJŲ!G78, PAGRINDINIŲ!G79, PRADINIŲ!G77)</f>
        <v>118896</v>
      </c>
      <c r="H77" s="423">
        <f>SUM(GIMNAZIJŲ!H78, PROGIMNAZIJŲ!H78, PAGRINDINIŲ!H79, PRADINIŲ!H77)</f>
        <v>36</v>
      </c>
      <c r="I77" s="423">
        <f>SUM(GIMNAZIJŲ!I78, PROGIMNAZIJŲ!I78, PAGRINDINIŲ!I79, PRADINIŲ!I77)</f>
        <v>29</v>
      </c>
      <c r="J77" s="431">
        <f>SUM(GIMNAZIJŲ!J78, PROGIMNAZIJŲ!J78, PAGRINDINIŲ!J79, PRADINIŲ!J77)</f>
        <v>29</v>
      </c>
      <c r="K77" s="437"/>
      <c r="L77" s="437"/>
    </row>
    <row r="78" spans="2:12" x14ac:dyDescent="0.2">
      <c r="B78" s="430" t="s">
        <v>204</v>
      </c>
      <c r="C78" s="423">
        <f>SUM(GIMNAZIJŲ!C79, PROGIMNAZIJŲ!C79, PAGRINDINIŲ!C80, PRADINIŲ!C78)</f>
        <v>11</v>
      </c>
      <c r="D78" s="423">
        <f>SUM(GIMNAZIJŲ!D79, PROGIMNAZIJŲ!D79, PAGRINDINIŲ!D80, PRADINIŲ!D78)</f>
        <v>66209</v>
      </c>
      <c r="E78" s="423">
        <f>SUM(GIMNAZIJŲ!E79, PROGIMNAZIJŲ!E79, PAGRINDINIŲ!E80, PRADINIŲ!E78)</f>
        <v>3120</v>
      </c>
      <c r="F78" s="423">
        <f>SUM(GIMNAZIJŲ!F79, PROGIMNAZIJŲ!F79, PAGRINDINIŲ!F80, PRADINIŲ!F78)</f>
        <v>14674</v>
      </c>
      <c r="G78" s="423">
        <f>SUM(GIMNAZIJŲ!G79, PROGIMNAZIJŲ!G79, PAGRINDINIŲ!G80, PRADINIŲ!G78)</f>
        <v>10021</v>
      </c>
      <c r="H78" s="423">
        <f>SUM(GIMNAZIJŲ!H79, PROGIMNAZIJŲ!H79, PAGRINDINIŲ!H80, PRADINIŲ!H78)</f>
        <v>14</v>
      </c>
      <c r="I78" s="423">
        <f>SUM(GIMNAZIJŲ!I79, PROGIMNAZIJŲ!I79, PAGRINDINIŲ!I80, PRADINIŲ!I78)</f>
        <v>11</v>
      </c>
      <c r="J78" s="433">
        <f>SUM(GIMNAZIJŲ!J79, PROGIMNAZIJŲ!J79, PAGRINDINIŲ!J80, PRADINIŲ!J78)</f>
        <v>11</v>
      </c>
      <c r="K78" s="437"/>
      <c r="L78" s="437"/>
    </row>
    <row r="79" spans="2:12" ht="15" customHeight="1" x14ac:dyDescent="0.2">
      <c r="B79" s="434" t="s">
        <v>22</v>
      </c>
      <c r="C79" s="434">
        <f>SUM(C72:C78)</f>
        <v>82</v>
      </c>
      <c r="D79" s="434">
        <f t="shared" ref="D79:J79" si="5">SUM(D72:D78)</f>
        <v>795305</v>
      </c>
      <c r="E79" s="434">
        <f t="shared" si="5"/>
        <v>27790</v>
      </c>
      <c r="F79" s="434">
        <f t="shared" si="5"/>
        <v>237240</v>
      </c>
      <c r="G79" s="434">
        <f t="shared" si="5"/>
        <v>295956</v>
      </c>
      <c r="H79" s="434">
        <f t="shared" si="5"/>
        <v>99</v>
      </c>
      <c r="I79" s="434">
        <f t="shared" si="5"/>
        <v>81</v>
      </c>
      <c r="J79" s="434">
        <f t="shared" si="5"/>
        <v>81</v>
      </c>
      <c r="K79" s="437"/>
      <c r="L79" s="437"/>
    </row>
    <row r="80" spans="2:12" x14ac:dyDescent="0.2">
      <c r="B80" s="441" t="s">
        <v>156</v>
      </c>
      <c r="C80" s="442"/>
      <c r="D80" s="442"/>
      <c r="E80" s="442"/>
      <c r="F80" s="442"/>
      <c r="G80" s="442"/>
      <c r="H80" s="442"/>
      <c r="I80" s="442"/>
      <c r="J80" s="429"/>
    </row>
    <row r="81" spans="2:10" x14ac:dyDescent="0.2">
      <c r="B81" s="430" t="s">
        <v>205</v>
      </c>
      <c r="C81" s="423">
        <f>SUM(GIMNAZIJŲ!C82, PROGIMNAZIJŲ!C82, PAGRINDINIŲ!C83, PRADINIŲ!C81)</f>
        <v>12</v>
      </c>
      <c r="D81" s="423">
        <f>SUM(GIMNAZIJŲ!D82, PROGIMNAZIJŲ!D82, PAGRINDINIŲ!D83, PRADINIŲ!D81)</f>
        <v>102992</v>
      </c>
      <c r="E81" s="423">
        <f>SUM(GIMNAZIJŲ!E82, PROGIMNAZIJŲ!E82, PAGRINDINIŲ!E83, PRADINIŲ!E81)</f>
        <v>2481</v>
      </c>
      <c r="F81" s="423">
        <f>SUM(GIMNAZIJŲ!F82, PROGIMNAZIJŲ!F82, PAGRINDINIŲ!F83, PRADINIŲ!F81)</f>
        <v>24092</v>
      </c>
      <c r="G81" s="423">
        <f>SUM(GIMNAZIJŲ!G82, PROGIMNAZIJŲ!G82, PAGRINDINIŲ!G83, PRADINIŲ!G81)</f>
        <v>58410</v>
      </c>
      <c r="H81" s="423">
        <f>SUM(GIMNAZIJŲ!H82, PROGIMNAZIJŲ!H82, PAGRINDINIŲ!H83, PRADINIŲ!H81)</f>
        <v>13</v>
      </c>
      <c r="I81" s="423">
        <f>SUM(GIMNAZIJŲ!I82, PROGIMNAZIJŲ!I82, PAGRINDINIŲ!I83, PRADINIŲ!I81)</f>
        <v>9</v>
      </c>
      <c r="J81" s="431">
        <f>SUM(GIMNAZIJŲ!J82, PROGIMNAZIJŲ!J82, PAGRINDINIŲ!J83, PRADINIŲ!J81)</f>
        <v>9</v>
      </c>
    </row>
    <row r="82" spans="2:10" x14ac:dyDescent="0.2">
      <c r="B82" s="430" t="s">
        <v>106</v>
      </c>
      <c r="C82" s="423">
        <f>SUM(GIMNAZIJŲ!C83, PROGIMNAZIJŲ!C83, PAGRINDINIŲ!C84, PRADINIŲ!C82)</f>
        <v>2</v>
      </c>
      <c r="D82" s="423">
        <f>SUM(GIMNAZIJŲ!D83, PROGIMNAZIJŲ!D83, PAGRINDINIŲ!D84, PRADINIŲ!D82)</f>
        <v>20372</v>
      </c>
      <c r="E82" s="423">
        <f>SUM(GIMNAZIJŲ!E83, PROGIMNAZIJŲ!E83, PAGRINDINIŲ!E84, PRADINIŲ!E82)</f>
        <v>833</v>
      </c>
      <c r="F82" s="423">
        <f>SUM(GIMNAZIJŲ!F83, PROGIMNAZIJŲ!F83, PAGRINDINIŲ!F84, PRADINIŲ!F82)</f>
        <v>8694</v>
      </c>
      <c r="G82" s="423">
        <f>SUM(GIMNAZIJŲ!G83, PROGIMNAZIJŲ!G83, PAGRINDINIŲ!G84, PRADINIŲ!G82)</f>
        <v>12155</v>
      </c>
      <c r="H82" s="423">
        <f>SUM(GIMNAZIJŲ!H83, PROGIMNAZIJŲ!H83, PAGRINDINIŲ!H84, PRADINIŲ!H82)</f>
        <v>2</v>
      </c>
      <c r="I82" s="423">
        <f>SUM(GIMNAZIJŲ!I83, PROGIMNAZIJŲ!I83, PAGRINDINIŲ!I84, PRADINIŲ!I82)</f>
        <v>2</v>
      </c>
      <c r="J82" s="431">
        <f>SUM(GIMNAZIJŲ!J83, PROGIMNAZIJŲ!J83, PAGRINDINIŲ!J84, PRADINIŲ!J82)</f>
        <v>2</v>
      </c>
    </row>
    <row r="83" spans="2:10" x14ac:dyDescent="0.2">
      <c r="B83" s="430" t="s">
        <v>206</v>
      </c>
      <c r="C83" s="423">
        <f>SUM(GIMNAZIJŲ!C84, PROGIMNAZIJŲ!C84, PAGRINDINIŲ!C85, PRADINIŲ!C83)</f>
        <v>7</v>
      </c>
      <c r="D83" s="423">
        <f>SUM(GIMNAZIJŲ!D84, PROGIMNAZIJŲ!D84, PAGRINDINIŲ!D85, PRADINIŲ!D83)</f>
        <v>102651</v>
      </c>
      <c r="E83" s="423">
        <f>SUM(GIMNAZIJŲ!E84, PROGIMNAZIJŲ!E84, PAGRINDINIŲ!E85, PRADINIŲ!E83)</f>
        <v>2502</v>
      </c>
      <c r="F83" s="423">
        <f>SUM(GIMNAZIJŲ!F84, PROGIMNAZIJŲ!F84, PAGRINDINIŲ!F85, PRADINIŲ!F83)</f>
        <v>69753</v>
      </c>
      <c r="G83" s="423">
        <f>SUM(GIMNAZIJŲ!G84, PROGIMNAZIJŲ!G84, PAGRINDINIŲ!G85, PRADINIŲ!G83)</f>
        <v>71691</v>
      </c>
      <c r="H83" s="423">
        <f>SUM(GIMNAZIJŲ!H84, PROGIMNAZIJŲ!H84, PAGRINDINIŲ!H85, PRADINIŲ!H83)</f>
        <v>6</v>
      </c>
      <c r="I83" s="423">
        <f>SUM(GIMNAZIJŲ!I84, PROGIMNAZIJŲ!I84, PAGRINDINIŲ!I85, PRADINIŲ!I83)</f>
        <v>7</v>
      </c>
      <c r="J83" s="431">
        <f>SUM(GIMNAZIJŲ!J84, PROGIMNAZIJŲ!J84, PAGRINDINIŲ!J85, PRADINIŲ!J83)</f>
        <v>7</v>
      </c>
    </row>
    <row r="84" spans="2:10" x14ac:dyDescent="0.2">
      <c r="B84" s="430" t="s">
        <v>207</v>
      </c>
      <c r="C84" s="423">
        <f>SUM(GIMNAZIJŲ!C85, PROGIMNAZIJŲ!C85, PAGRINDINIŲ!C86, PRADINIŲ!C84)</f>
        <v>9</v>
      </c>
      <c r="D84" s="423">
        <f>SUM(GIMNAZIJŲ!D85, PROGIMNAZIJŲ!D85, PAGRINDINIŲ!D86, PRADINIŲ!D84)</f>
        <v>141525</v>
      </c>
      <c r="E84" s="423">
        <f>SUM(GIMNAZIJŲ!E85, PROGIMNAZIJŲ!E85, PAGRINDINIŲ!E86, PRADINIŲ!E84)</f>
        <v>3644</v>
      </c>
      <c r="F84" s="423">
        <f>SUM(GIMNAZIJŲ!F85, PROGIMNAZIJŲ!F85, PAGRINDINIŲ!F86, PRADINIŲ!F84)</f>
        <v>17615</v>
      </c>
      <c r="G84" s="423">
        <f>SUM(GIMNAZIJŲ!G85, PROGIMNAZIJŲ!G85, PAGRINDINIŲ!G86, PRADINIŲ!G84)</f>
        <v>15431</v>
      </c>
      <c r="H84" s="423">
        <f>SUM(GIMNAZIJŲ!H85, PROGIMNAZIJŲ!H85, PAGRINDINIŲ!H86, PRADINIŲ!H84)</f>
        <v>9</v>
      </c>
      <c r="I84" s="423">
        <f>SUM(GIMNAZIJŲ!I85, PROGIMNAZIJŲ!I85, PAGRINDINIŲ!I86, PRADINIŲ!I84)</f>
        <v>9</v>
      </c>
      <c r="J84" s="433">
        <f>SUM(GIMNAZIJŲ!J85, PROGIMNAZIJŲ!J85, PAGRINDINIŲ!J86, PRADINIŲ!J84)</f>
        <v>9</v>
      </c>
    </row>
    <row r="85" spans="2:10" ht="14.25" customHeight="1" x14ac:dyDescent="0.2">
      <c r="B85" s="434" t="s">
        <v>22</v>
      </c>
      <c r="C85" s="434">
        <f>SUM(C81:C84)</f>
        <v>30</v>
      </c>
      <c r="D85" s="434">
        <f>SUM(D81:D84)</f>
        <v>367540</v>
      </c>
      <c r="E85" s="434">
        <f t="shared" ref="E85:J85" si="6">SUM(E81:E84)</f>
        <v>9460</v>
      </c>
      <c r="F85" s="434">
        <f t="shared" si="6"/>
        <v>120154</v>
      </c>
      <c r="G85" s="434">
        <f t="shared" si="6"/>
        <v>157687</v>
      </c>
      <c r="H85" s="434">
        <f t="shared" si="6"/>
        <v>30</v>
      </c>
      <c r="I85" s="434">
        <f t="shared" si="6"/>
        <v>27</v>
      </c>
      <c r="J85" s="434">
        <f t="shared" si="6"/>
        <v>27</v>
      </c>
    </row>
    <row r="86" spans="2:10" x14ac:dyDescent="0.2">
      <c r="B86" s="441" t="s">
        <v>157</v>
      </c>
      <c r="C86" s="442"/>
      <c r="D86" s="442"/>
      <c r="E86" s="442"/>
      <c r="F86" s="442"/>
      <c r="G86" s="442"/>
      <c r="H86" s="442"/>
      <c r="I86" s="442"/>
      <c r="J86" s="429"/>
    </row>
    <row r="87" spans="2:10" x14ac:dyDescent="0.2">
      <c r="B87" s="430" t="s">
        <v>208</v>
      </c>
      <c r="C87" s="423">
        <f>SUM(GIMNAZIJŲ!C88, PROGIMNAZIJŲ!C88, PAGRINDINIŲ!C89, PRADINIŲ!C87)</f>
        <v>17</v>
      </c>
      <c r="D87" s="423">
        <f>SUM(GIMNAZIJŲ!D88, PROGIMNAZIJŲ!D88, PAGRINDINIŲ!D89, PRADINIŲ!D87)</f>
        <v>133204</v>
      </c>
      <c r="E87" s="423">
        <f>SUM(GIMNAZIJŲ!E88, PROGIMNAZIJŲ!E88, PAGRINDINIŲ!E89, PRADINIŲ!E87)</f>
        <v>5704</v>
      </c>
      <c r="F87" s="423">
        <f>SUM(GIMNAZIJŲ!F88, PROGIMNAZIJŲ!F88, PAGRINDINIŲ!F89, PRADINIŲ!F87)</f>
        <v>73853</v>
      </c>
      <c r="G87" s="423">
        <f>SUM(GIMNAZIJŲ!G88, PROGIMNAZIJŲ!G88, PAGRINDINIŲ!G89, PRADINIŲ!G87)</f>
        <v>68025</v>
      </c>
      <c r="H87" s="423">
        <f>SUM(GIMNAZIJŲ!H88, PROGIMNAZIJŲ!H88, PAGRINDINIŲ!H89, PRADINIŲ!H87)</f>
        <v>26</v>
      </c>
      <c r="I87" s="423">
        <f>SUM(GIMNAZIJŲ!I88, PROGIMNAZIJŲ!I88, PAGRINDINIŲ!I89, PRADINIŲ!I87)</f>
        <v>17</v>
      </c>
      <c r="J87" s="431">
        <f>SUM(GIMNAZIJŲ!J88, PROGIMNAZIJŲ!J88, PAGRINDINIŲ!J89, PRADINIŲ!J87)</f>
        <v>17</v>
      </c>
    </row>
    <row r="88" spans="2:10" x14ac:dyDescent="0.2">
      <c r="B88" s="430" t="s">
        <v>209</v>
      </c>
      <c r="C88" s="423">
        <f>SUM(GIMNAZIJŲ!C89, PROGIMNAZIJŲ!C89, PAGRINDINIŲ!C90, PRADINIŲ!C88)</f>
        <v>10</v>
      </c>
      <c r="D88" s="423">
        <f>SUM(GIMNAZIJŲ!D89, PROGIMNAZIJŲ!D89, PAGRINDINIŲ!D90, PRADINIŲ!D88)</f>
        <v>120806</v>
      </c>
      <c r="E88" s="423">
        <f>SUM(GIMNAZIJŲ!E89, PROGIMNAZIJŲ!E89, PAGRINDINIŲ!E90, PRADINIŲ!E88)</f>
        <v>4026</v>
      </c>
      <c r="F88" s="423">
        <f>SUM(GIMNAZIJŲ!F89, PROGIMNAZIJŲ!F89, PAGRINDINIŲ!F90, PRADINIŲ!F88)</f>
        <v>24888</v>
      </c>
      <c r="G88" s="423">
        <f>SUM(GIMNAZIJŲ!G89, PROGIMNAZIJŲ!G89, PAGRINDINIŲ!G90, PRADINIŲ!G88)</f>
        <v>40689</v>
      </c>
      <c r="H88" s="423">
        <f>SUM(GIMNAZIJŲ!H89, PROGIMNAZIJŲ!H89, PAGRINDINIŲ!H90, PRADINIŲ!H88)</f>
        <v>17</v>
      </c>
      <c r="I88" s="423">
        <f>SUM(GIMNAZIJŲ!I89, PROGIMNAZIJŲ!I89, PAGRINDINIŲ!I90, PRADINIŲ!I88)</f>
        <v>10</v>
      </c>
      <c r="J88" s="431">
        <f>SUM(GIMNAZIJŲ!J89, PROGIMNAZIJŲ!J89, PAGRINDINIŲ!J90, PRADINIŲ!J88)</f>
        <v>10</v>
      </c>
    </row>
    <row r="89" spans="2:10" x14ac:dyDescent="0.2">
      <c r="B89" s="430" t="s">
        <v>108</v>
      </c>
      <c r="C89" s="423">
        <f>SUM(GIMNAZIJŲ!C90, PROGIMNAZIJŲ!C90, PAGRINDINIŲ!C91, PRADINIŲ!C89)</f>
        <v>2</v>
      </c>
      <c r="D89" s="423">
        <f>SUM(GIMNAZIJŲ!D90, PROGIMNAZIJŲ!D90, PAGRINDINIŲ!D91, PRADINIŲ!D89)</f>
        <v>33220</v>
      </c>
      <c r="E89" s="423">
        <f>SUM(GIMNAZIJŲ!E90, PROGIMNAZIJŲ!E90, PAGRINDINIŲ!E91, PRADINIŲ!E89)</f>
        <v>635</v>
      </c>
      <c r="F89" s="423">
        <f>SUM(GIMNAZIJŲ!F90, PROGIMNAZIJŲ!F90, PAGRINDINIŲ!F91, PRADINIŲ!F89)</f>
        <v>3364</v>
      </c>
      <c r="G89" s="423">
        <f>SUM(GIMNAZIJŲ!G90, PROGIMNAZIJŲ!G90, PAGRINDINIŲ!G91, PRADINIŲ!G89)</f>
        <v>3246</v>
      </c>
      <c r="H89" s="423">
        <f>SUM(GIMNAZIJŲ!H90, PROGIMNAZIJŲ!H90, PAGRINDINIŲ!H91, PRADINIŲ!H89)</f>
        <v>3</v>
      </c>
      <c r="I89" s="423">
        <f>SUM(GIMNAZIJŲ!I90, PROGIMNAZIJŲ!I90, PAGRINDINIŲ!I91, PRADINIŲ!I89)</f>
        <v>2</v>
      </c>
      <c r="J89" s="431">
        <f>SUM(GIMNAZIJŲ!J90, PROGIMNAZIJŲ!J90, PAGRINDINIŲ!J91, PRADINIŲ!J89)</f>
        <v>2</v>
      </c>
    </row>
    <row r="90" spans="2:10" x14ac:dyDescent="0.2">
      <c r="B90" s="430" t="s">
        <v>210</v>
      </c>
      <c r="C90" s="423">
        <f>SUM(GIMNAZIJŲ!C91, PROGIMNAZIJŲ!C91, PAGRINDINIŲ!C92, PRADINIŲ!C90)</f>
        <v>12</v>
      </c>
      <c r="D90" s="423">
        <f>SUM(GIMNAZIJŲ!D91, PROGIMNAZIJŲ!D91, PAGRINDINIŲ!D92, PRADINIŲ!D90)</f>
        <v>127307</v>
      </c>
      <c r="E90" s="423">
        <f>SUM(GIMNAZIJŲ!E91, PROGIMNAZIJŲ!E91, PAGRINDINIŲ!E92, PRADINIŲ!E90)</f>
        <v>3683</v>
      </c>
      <c r="F90" s="423">
        <f>SUM(GIMNAZIJŲ!F91, PROGIMNAZIJŲ!F91, PAGRINDINIŲ!F92, PRADINIŲ!F90)</f>
        <v>35406</v>
      </c>
      <c r="G90" s="423">
        <f>SUM(GIMNAZIJŲ!G91, PROGIMNAZIJŲ!G91, PAGRINDINIŲ!G92, PRADINIŲ!G90)</f>
        <v>42797</v>
      </c>
      <c r="H90" s="423">
        <f>SUM(GIMNAZIJŲ!H91, PROGIMNAZIJŲ!H91, PAGRINDINIŲ!H92, PRADINIŲ!H90)</f>
        <v>13</v>
      </c>
      <c r="I90" s="423">
        <f>SUM(GIMNAZIJŲ!I91, PROGIMNAZIJŲ!I91, PAGRINDINIŲ!I92, PRADINIŲ!I90)</f>
        <v>11</v>
      </c>
      <c r="J90" s="433">
        <f>SUM(GIMNAZIJŲ!J91, PROGIMNAZIJŲ!J91, PAGRINDINIŲ!J92, PRADINIŲ!J90)</f>
        <v>11</v>
      </c>
    </row>
    <row r="91" spans="2:10" ht="13.5" customHeight="1" x14ac:dyDescent="0.2">
      <c r="B91" s="434" t="s">
        <v>22</v>
      </c>
      <c r="C91" s="434">
        <f>SUM(C87:C90)</f>
        <v>41</v>
      </c>
      <c r="D91" s="434">
        <f t="shared" ref="D91:J91" si="7">SUM(D87:D90)</f>
        <v>414537</v>
      </c>
      <c r="E91" s="434">
        <f t="shared" si="7"/>
        <v>14048</v>
      </c>
      <c r="F91" s="434">
        <f t="shared" si="7"/>
        <v>137511</v>
      </c>
      <c r="G91" s="434">
        <f t="shared" si="7"/>
        <v>154757</v>
      </c>
      <c r="H91" s="434">
        <f t="shared" si="7"/>
        <v>59</v>
      </c>
      <c r="I91" s="434">
        <f t="shared" si="7"/>
        <v>40</v>
      </c>
      <c r="J91" s="434">
        <f t="shared" si="7"/>
        <v>40</v>
      </c>
    </row>
    <row r="92" spans="2:10" x14ac:dyDescent="0.2">
      <c r="B92" s="441" t="s">
        <v>158</v>
      </c>
      <c r="C92" s="442"/>
      <c r="D92" s="442"/>
      <c r="E92" s="442"/>
      <c r="F92" s="442"/>
      <c r="G92" s="442"/>
      <c r="H92" s="442"/>
      <c r="I92" s="442"/>
      <c r="J92" s="429"/>
    </row>
    <row r="93" spans="2:10" x14ac:dyDescent="0.2">
      <c r="B93" s="430" t="s">
        <v>211</v>
      </c>
      <c r="C93" s="423">
        <f>SUM(GIMNAZIJŲ!C94, PROGIMNAZIJŲ!C94, PAGRINDINIŲ!C95, PRADINIŲ!C93)</f>
        <v>6</v>
      </c>
      <c r="D93" s="423">
        <f>SUM(GIMNAZIJŲ!D94, PROGIMNAZIJŲ!D94, PAGRINDINIŲ!D95, PRADINIŲ!D93)</f>
        <v>76700</v>
      </c>
      <c r="E93" s="423">
        <f>SUM(GIMNAZIJŲ!E94, PROGIMNAZIJŲ!E94, PAGRINDINIŲ!E95, PRADINIŲ!E93)</f>
        <v>1871</v>
      </c>
      <c r="F93" s="423">
        <f>SUM(GIMNAZIJŲ!F94, PROGIMNAZIJŲ!F94, PAGRINDINIŲ!F95, PRADINIŲ!F93)</f>
        <v>16351</v>
      </c>
      <c r="G93" s="423">
        <f>SUM(GIMNAZIJŲ!G94, PROGIMNAZIJŲ!G94, PAGRINDINIŲ!G95, PRADINIŲ!G93)</f>
        <v>21714</v>
      </c>
      <c r="H93" s="423">
        <f>SUM(GIMNAZIJŲ!H94, PROGIMNAZIJŲ!H94, PAGRINDINIŲ!H95, PRADINIŲ!H93)</f>
        <v>7</v>
      </c>
      <c r="I93" s="423">
        <f>SUM(GIMNAZIJŲ!I94, PROGIMNAZIJŲ!I94, PAGRINDINIŲ!I95, PRADINIŲ!I93)</f>
        <v>6</v>
      </c>
      <c r="J93" s="431">
        <f>SUM(GIMNAZIJŲ!J94, PROGIMNAZIJŲ!J94, PAGRINDINIŲ!J95, PRADINIŲ!J93)</f>
        <v>6</v>
      </c>
    </row>
    <row r="94" spans="2:10" x14ac:dyDescent="0.2">
      <c r="B94" s="430" t="s">
        <v>212</v>
      </c>
      <c r="C94" s="423">
        <f>SUM(GIMNAZIJŲ!C95, PROGIMNAZIJŲ!C95, PAGRINDINIŲ!C96, PRADINIŲ!C94)</f>
        <v>3</v>
      </c>
      <c r="D94" s="423">
        <f>SUM(GIMNAZIJŲ!D95, PROGIMNAZIJŲ!D95, PAGRINDINIŲ!D96, PRADINIŲ!D94)</f>
        <v>46849</v>
      </c>
      <c r="E94" s="423">
        <f>SUM(GIMNAZIJŲ!E95, PROGIMNAZIJŲ!E95, PAGRINDINIŲ!E96, PRADINIŲ!E94)</f>
        <v>1134</v>
      </c>
      <c r="F94" s="423">
        <f>SUM(GIMNAZIJŲ!F95, PROGIMNAZIJŲ!F95, PAGRINDINIŲ!F96, PRADINIŲ!F94)</f>
        <v>10663</v>
      </c>
      <c r="G94" s="423">
        <f>SUM(GIMNAZIJŲ!G95, PROGIMNAZIJŲ!G95, PAGRINDINIŲ!G96, PRADINIŲ!G94)</f>
        <v>14479</v>
      </c>
      <c r="H94" s="423">
        <f>SUM(GIMNAZIJŲ!H95, PROGIMNAZIJŲ!H95, PAGRINDINIŲ!H96, PRADINIŲ!H94)</f>
        <v>7</v>
      </c>
      <c r="I94" s="423">
        <f>SUM(GIMNAZIJŲ!I95, PROGIMNAZIJŲ!I95, PAGRINDINIŲ!I96, PRADINIŲ!I94)</f>
        <v>3</v>
      </c>
      <c r="J94" s="431">
        <f>SUM(GIMNAZIJŲ!J95, PROGIMNAZIJŲ!J95, PAGRINDINIŲ!J96, PRADINIŲ!J94)</f>
        <v>3</v>
      </c>
    </row>
    <row r="95" spans="2:10" x14ac:dyDescent="0.2">
      <c r="B95" s="430" t="s">
        <v>213</v>
      </c>
      <c r="C95" s="423">
        <f>SUM(GIMNAZIJŲ!C96, PROGIMNAZIJŲ!C96, PAGRINDINIŲ!C97, PRADINIŲ!C95)</f>
        <v>4</v>
      </c>
      <c r="D95" s="423">
        <f>SUM(GIMNAZIJŲ!D96, PROGIMNAZIJŲ!D96, PAGRINDINIŲ!D97, PRADINIŲ!D95)</f>
        <v>43553</v>
      </c>
      <c r="E95" s="423">
        <f>SUM(GIMNAZIJŲ!E96, PROGIMNAZIJŲ!E96, PAGRINDINIŲ!E97, PRADINIŲ!E95)</f>
        <v>1199</v>
      </c>
      <c r="F95" s="423">
        <f>SUM(GIMNAZIJŲ!F96, PROGIMNAZIJŲ!F96, PAGRINDINIŲ!F97, PRADINIŲ!F95)</f>
        <v>13429</v>
      </c>
      <c r="G95" s="423">
        <f>SUM(GIMNAZIJŲ!G96, PROGIMNAZIJŲ!G96, PAGRINDINIŲ!G97, PRADINIŲ!G95)</f>
        <v>12682</v>
      </c>
      <c r="H95" s="423">
        <f>SUM(GIMNAZIJŲ!H96, PROGIMNAZIJŲ!H96, PAGRINDINIŲ!H97, PRADINIŲ!H95)</f>
        <v>4</v>
      </c>
      <c r="I95" s="423">
        <f>SUM(GIMNAZIJŲ!I96, PROGIMNAZIJŲ!I96, PAGRINDINIŲ!I97, PRADINIŲ!I95)</f>
        <v>4</v>
      </c>
      <c r="J95" s="431">
        <f>SUM(GIMNAZIJŲ!J96, PROGIMNAZIJŲ!J96, PAGRINDINIŲ!J97, PRADINIŲ!J95)</f>
        <v>4</v>
      </c>
    </row>
    <row r="96" spans="2:10" x14ac:dyDescent="0.2">
      <c r="B96" s="430" t="s">
        <v>214</v>
      </c>
      <c r="C96" s="423">
        <f>SUM(GIMNAZIJŲ!C97, PROGIMNAZIJŲ!C97, PAGRINDINIŲ!C98, PRADINIŲ!C96)</f>
        <v>6</v>
      </c>
      <c r="D96" s="423">
        <f>SUM(GIMNAZIJŲ!D97, PROGIMNAZIJŲ!D97, PAGRINDINIŲ!D98, PRADINIŲ!D96)</f>
        <v>35739</v>
      </c>
      <c r="E96" s="423">
        <f>SUM(GIMNAZIJŲ!E97, PROGIMNAZIJŲ!E97, PAGRINDINIŲ!E98, PRADINIŲ!E96)</f>
        <v>1862</v>
      </c>
      <c r="F96" s="423">
        <f>SUM(GIMNAZIJŲ!F97, PROGIMNAZIJŲ!F97, PAGRINDINIŲ!F98, PRADINIŲ!F96)</f>
        <v>25026</v>
      </c>
      <c r="G96" s="423">
        <f>SUM(GIMNAZIJŲ!G97, PROGIMNAZIJŲ!G97, PAGRINDINIŲ!G98, PRADINIŲ!G96)</f>
        <v>30066</v>
      </c>
      <c r="H96" s="423">
        <f>SUM(GIMNAZIJŲ!H97, PROGIMNAZIJŲ!H97, PAGRINDINIŲ!H98, PRADINIŲ!H96)</f>
        <v>8</v>
      </c>
      <c r="I96" s="423">
        <f>SUM(GIMNAZIJŲ!I97, PROGIMNAZIJŲ!I97, PAGRINDINIŲ!I98, PRADINIŲ!I96)</f>
        <v>6</v>
      </c>
      <c r="J96" s="431">
        <f>SUM(GIMNAZIJŲ!J97, PROGIMNAZIJŲ!J97, PAGRINDINIŲ!J98, PRADINIŲ!J96)</f>
        <v>6</v>
      </c>
    </row>
    <row r="97" spans="2:10" x14ac:dyDescent="0.2">
      <c r="B97" s="430" t="s">
        <v>110</v>
      </c>
      <c r="C97" s="423">
        <f>SUM(GIMNAZIJŲ!C98, PROGIMNAZIJŲ!C98, PAGRINDINIŲ!C99, PRADINIŲ!C97)</f>
        <v>5</v>
      </c>
      <c r="D97" s="423">
        <f>SUM(GIMNAZIJŲ!D98, PROGIMNAZIJŲ!D98, PAGRINDINIŲ!D99, PRADINIŲ!D97)</f>
        <v>48459</v>
      </c>
      <c r="E97" s="423">
        <f>SUM(GIMNAZIJŲ!E98, PROGIMNAZIJŲ!E98, PAGRINDINIŲ!E99, PRADINIŲ!E97)</f>
        <v>1741</v>
      </c>
      <c r="F97" s="423">
        <f>SUM(GIMNAZIJŲ!F98, PROGIMNAZIJŲ!F98, PAGRINDINIŲ!F99, PRADINIŲ!F97)</f>
        <v>19182</v>
      </c>
      <c r="G97" s="423">
        <f>SUM(GIMNAZIJŲ!G98, PROGIMNAZIJŲ!G98, PAGRINDINIŲ!G99, PRADINIŲ!G97)</f>
        <v>14872</v>
      </c>
      <c r="H97" s="423">
        <f>SUM(GIMNAZIJŲ!H98, PROGIMNAZIJŲ!H98, PAGRINDINIŲ!H99, PRADINIŲ!H97)</f>
        <v>5</v>
      </c>
      <c r="I97" s="423">
        <f>SUM(GIMNAZIJŲ!I98, PROGIMNAZIJŲ!I98, PAGRINDINIŲ!I99, PRADINIŲ!I97)</f>
        <v>5</v>
      </c>
      <c r="J97" s="431">
        <f>SUM(GIMNAZIJŲ!J98, PROGIMNAZIJŲ!J98, PAGRINDINIŲ!J99, PRADINIŲ!J97)</f>
        <v>5</v>
      </c>
    </row>
    <row r="98" spans="2:10" x14ac:dyDescent="0.2">
      <c r="B98" s="430" t="s">
        <v>215</v>
      </c>
      <c r="C98" s="423">
        <f>SUM(GIMNAZIJŲ!C99, PROGIMNAZIJŲ!C99, PAGRINDINIŲ!C100, PRADINIŲ!C98)</f>
        <v>5</v>
      </c>
      <c r="D98" s="423">
        <f>SUM(GIMNAZIJŲ!D99, PROGIMNAZIJŲ!D99, PAGRINDINIŲ!D100, PRADINIŲ!D98)</f>
        <v>57688</v>
      </c>
      <c r="E98" s="423">
        <f>SUM(GIMNAZIJŲ!E99, PROGIMNAZIJŲ!E99, PAGRINDINIŲ!E100, PRADINIŲ!E98)</f>
        <v>634</v>
      </c>
      <c r="F98" s="423">
        <f>SUM(GIMNAZIJŲ!F99, PROGIMNAZIJŲ!F99, PAGRINDINIŲ!F100, PRADINIŲ!F98)</f>
        <v>2908</v>
      </c>
      <c r="G98" s="423">
        <f>SUM(GIMNAZIJŲ!G99, PROGIMNAZIJŲ!G99, PAGRINDINIŲ!G100, PRADINIŲ!G98)</f>
        <v>3837</v>
      </c>
      <c r="H98" s="423">
        <f>SUM(GIMNAZIJŲ!H99, PROGIMNAZIJŲ!H99, PAGRINDINIŲ!H100, PRADINIŲ!H98)</f>
        <v>5</v>
      </c>
      <c r="I98" s="423">
        <f>SUM(GIMNAZIJŲ!I99, PROGIMNAZIJŲ!I99, PAGRINDINIŲ!I100, PRADINIŲ!I98)</f>
        <v>5</v>
      </c>
      <c r="J98" s="433">
        <f>SUM(GIMNAZIJŲ!J99, PROGIMNAZIJŲ!J99, PAGRINDINIŲ!J100, PRADINIŲ!J98)</f>
        <v>5</v>
      </c>
    </row>
    <row r="99" spans="2:10" ht="14.25" customHeight="1" x14ac:dyDescent="0.2">
      <c r="B99" s="434" t="s">
        <v>22</v>
      </c>
      <c r="C99" s="434">
        <f>SUM(C93:C98)</f>
        <v>29</v>
      </c>
      <c r="D99" s="434">
        <f t="shared" ref="D99:J99" si="8">SUM(D93:D98)</f>
        <v>308988</v>
      </c>
      <c r="E99" s="434">
        <f t="shared" si="8"/>
        <v>8441</v>
      </c>
      <c r="F99" s="434">
        <f t="shared" si="8"/>
        <v>87559</v>
      </c>
      <c r="G99" s="434">
        <f t="shared" si="8"/>
        <v>97650</v>
      </c>
      <c r="H99" s="434">
        <f t="shared" si="8"/>
        <v>36</v>
      </c>
      <c r="I99" s="434">
        <f t="shared" si="8"/>
        <v>29</v>
      </c>
      <c r="J99" s="434">
        <f t="shared" si="8"/>
        <v>29</v>
      </c>
    </row>
    <row r="100" spans="2:10" x14ac:dyDescent="0.2">
      <c r="B100" s="441" t="s">
        <v>159</v>
      </c>
      <c r="C100" s="442"/>
      <c r="D100" s="442"/>
      <c r="E100" s="442"/>
      <c r="F100" s="442"/>
      <c r="G100" s="442"/>
      <c r="H100" s="442"/>
      <c r="I100" s="442"/>
      <c r="J100" s="429"/>
    </row>
    <row r="101" spans="2:10" x14ac:dyDescent="0.2">
      <c r="B101" s="430" t="s">
        <v>112</v>
      </c>
      <c r="C101" s="423">
        <f>SUM(GIMNAZIJŲ!C102, PROGIMNAZIJŲ!C102, PAGRINDINIŲ!C103, PRADINIŲ!C101)</f>
        <v>7</v>
      </c>
      <c r="D101" s="423">
        <f>SUM(GIMNAZIJŲ!D102, PROGIMNAZIJŲ!D102, PAGRINDINIŲ!D103, PRADINIŲ!D101)</f>
        <v>71132</v>
      </c>
      <c r="E101" s="423">
        <f>SUM(GIMNAZIJŲ!E102, PROGIMNAZIJŲ!E102, PAGRINDINIŲ!E103, PRADINIŲ!E101)</f>
        <v>2206</v>
      </c>
      <c r="F101" s="423">
        <f>SUM(GIMNAZIJŲ!F102, PROGIMNAZIJŲ!F102, PAGRINDINIŲ!F103, PRADINIŲ!F101)</f>
        <v>15825</v>
      </c>
      <c r="G101" s="423">
        <f>SUM(GIMNAZIJŲ!G102, PROGIMNAZIJŲ!G102, PAGRINDINIŲ!G103, PRADINIŲ!G101)</f>
        <v>24154</v>
      </c>
      <c r="H101" s="423">
        <f>SUM(GIMNAZIJŲ!H102, PROGIMNAZIJŲ!H102, PAGRINDINIŲ!H103, PRADINIŲ!H101)</f>
        <v>14</v>
      </c>
      <c r="I101" s="423">
        <f>SUM(GIMNAZIJŲ!I102, PROGIMNAZIJŲ!I102, PAGRINDINIŲ!I103, PRADINIŲ!I101)</f>
        <v>7</v>
      </c>
      <c r="J101" s="431">
        <f>SUM(GIMNAZIJŲ!J102, PROGIMNAZIJŲ!J102, PAGRINDINIŲ!J103, PRADINIŲ!J101)</f>
        <v>7</v>
      </c>
    </row>
    <row r="102" spans="2:10" x14ac:dyDescent="0.2">
      <c r="B102" s="430" t="s">
        <v>216</v>
      </c>
      <c r="C102" s="423">
        <f>SUM(GIMNAZIJŲ!C103, PROGIMNAZIJŲ!C103, PAGRINDINIŲ!C104, PRADINIŲ!C102)</f>
        <v>16</v>
      </c>
      <c r="D102" s="423">
        <f>SUM(GIMNAZIJŲ!D103, PROGIMNAZIJŲ!D103, PAGRINDINIŲ!D104, PRADINIŲ!D102)</f>
        <v>91542</v>
      </c>
      <c r="E102" s="423">
        <f>SUM(GIMNAZIJŲ!E103, PROGIMNAZIJŲ!E103, PAGRINDINIŲ!E104, PRADINIŲ!E102)</f>
        <v>3356</v>
      </c>
      <c r="F102" s="423">
        <f>SUM(GIMNAZIJŲ!F103, PROGIMNAZIJŲ!F103, PAGRINDINIŲ!F104, PRADINIŲ!F102)</f>
        <v>47766</v>
      </c>
      <c r="G102" s="423">
        <f>SUM(GIMNAZIJŲ!G103, PROGIMNAZIJŲ!G103, PAGRINDINIŲ!G104, PRADINIŲ!G102)</f>
        <v>61080</v>
      </c>
      <c r="H102" s="423">
        <f>SUM(GIMNAZIJŲ!H103, PROGIMNAZIJŲ!H103, PAGRINDINIŲ!H104, PRADINIŲ!H102)</f>
        <v>15</v>
      </c>
      <c r="I102" s="423">
        <f>SUM(GIMNAZIJŲ!I103, PROGIMNAZIJŲ!I103, PAGRINDINIŲ!I104, PRADINIŲ!I102)</f>
        <v>15</v>
      </c>
      <c r="J102" s="431">
        <f>SUM(GIMNAZIJŲ!J103, PROGIMNAZIJŲ!J103, PAGRINDINIŲ!J104, PRADINIŲ!J102)</f>
        <v>15</v>
      </c>
    </row>
    <row r="103" spans="2:10" x14ac:dyDescent="0.2">
      <c r="B103" s="430" t="s">
        <v>217</v>
      </c>
      <c r="C103" s="423">
        <f>SUM(GIMNAZIJŲ!C104, PROGIMNAZIJŲ!C104, PAGRINDINIŲ!C105, PRADINIŲ!C103)</f>
        <v>5</v>
      </c>
      <c r="D103" s="423">
        <f>SUM(GIMNAZIJŲ!D104, PROGIMNAZIJŲ!D104, PAGRINDINIŲ!D105, PRADINIŲ!D103)</f>
        <v>32657</v>
      </c>
      <c r="E103" s="423">
        <f>SUM(GIMNAZIJŲ!E104, PROGIMNAZIJŲ!E104, PAGRINDINIŲ!E105, PRADINIŲ!E103)</f>
        <v>1520</v>
      </c>
      <c r="F103" s="423">
        <f>SUM(GIMNAZIJŲ!F104, PROGIMNAZIJŲ!F104, PAGRINDINIŲ!F105, PRADINIŲ!F103)</f>
        <v>27552</v>
      </c>
      <c r="G103" s="423">
        <f>SUM(GIMNAZIJŲ!G104, PROGIMNAZIJŲ!G104, PAGRINDINIŲ!G105, PRADINIŲ!G103)</f>
        <v>21355</v>
      </c>
      <c r="H103" s="423">
        <f>SUM(GIMNAZIJŲ!H104, PROGIMNAZIJŲ!H104, PAGRINDINIŲ!H105, PRADINIŲ!H103)</f>
        <v>4</v>
      </c>
      <c r="I103" s="423">
        <f>SUM(GIMNAZIJŲ!I104, PROGIMNAZIJŲ!I104, PAGRINDINIŲ!I105, PRADINIŲ!I103)</f>
        <v>5</v>
      </c>
      <c r="J103" s="431">
        <f>SUM(GIMNAZIJŲ!J104, PROGIMNAZIJŲ!J104, PAGRINDINIŲ!J105, PRADINIŲ!J103)</f>
        <v>5</v>
      </c>
    </row>
    <row r="104" spans="2:10" x14ac:dyDescent="0.2">
      <c r="B104" s="430" t="s">
        <v>218</v>
      </c>
      <c r="C104" s="423">
        <f>SUM(GIMNAZIJŲ!C105, PROGIMNAZIJŲ!C105, PAGRINDINIŲ!C106, PRADINIŲ!C104)</f>
        <v>4</v>
      </c>
      <c r="D104" s="423">
        <f>SUM(GIMNAZIJŲ!D105, PROGIMNAZIJŲ!D105, PAGRINDINIŲ!D106, PRADINIŲ!D104)</f>
        <v>82034</v>
      </c>
      <c r="E104" s="423">
        <f>SUM(GIMNAZIJŲ!E105, PROGIMNAZIJŲ!E105, PAGRINDINIŲ!E106, PRADINIŲ!E104)</f>
        <v>2049</v>
      </c>
      <c r="F104" s="423">
        <f>SUM(GIMNAZIJŲ!F105, PROGIMNAZIJŲ!F105, PAGRINDINIŲ!F106, PRADINIŲ!F104)</f>
        <v>21935</v>
      </c>
      <c r="G104" s="423">
        <f>SUM(GIMNAZIJŲ!G105, PROGIMNAZIJŲ!G105, PAGRINDINIŲ!G106, PRADINIŲ!G104)</f>
        <v>24050</v>
      </c>
      <c r="H104" s="423">
        <f>SUM(GIMNAZIJŲ!H105, PROGIMNAZIJŲ!H105, PAGRINDINIŲ!H106, PRADINIŲ!H104)</f>
        <v>7</v>
      </c>
      <c r="I104" s="423">
        <f>SUM(GIMNAZIJŲ!I105, PROGIMNAZIJŲ!I105, PAGRINDINIŲ!I106, PRADINIŲ!I104)</f>
        <v>4</v>
      </c>
      <c r="J104" s="431">
        <f>SUM(GIMNAZIJŲ!J105, PROGIMNAZIJŲ!J105, PAGRINDINIŲ!J106, PRADINIŲ!J104)</f>
        <v>4</v>
      </c>
    </row>
    <row r="105" spans="2:10" x14ac:dyDescent="0.2">
      <c r="B105" s="430" t="s">
        <v>219</v>
      </c>
      <c r="C105" s="423">
        <f>SUM(GIMNAZIJŲ!C106, PROGIMNAZIJŲ!C106, PAGRINDINIŲ!C107, PRADINIŲ!C105)</f>
        <v>16</v>
      </c>
      <c r="D105" s="423">
        <f>SUM(GIMNAZIJŲ!D106, PROGIMNAZIJŲ!D106, PAGRINDINIŲ!D107, PRADINIŲ!D105)</f>
        <v>132677</v>
      </c>
      <c r="E105" s="423">
        <f>SUM(GIMNAZIJŲ!E106, PROGIMNAZIJŲ!E106, PAGRINDINIŲ!E107, PRADINIŲ!E105)</f>
        <v>3233</v>
      </c>
      <c r="F105" s="423">
        <f>SUM(GIMNAZIJŲ!F106, PROGIMNAZIJŲ!F106, PAGRINDINIŲ!F107, PRADINIŲ!F105)</f>
        <v>25478</v>
      </c>
      <c r="G105" s="423">
        <f>SUM(GIMNAZIJŲ!G106, PROGIMNAZIJŲ!G106, PAGRINDINIŲ!G107, PRADINIŲ!G105)</f>
        <v>42854</v>
      </c>
      <c r="H105" s="423">
        <f>SUM(GIMNAZIJŲ!H106, PROGIMNAZIJŲ!H106, PAGRINDINIŲ!H107, PRADINIŲ!H105)</f>
        <v>20</v>
      </c>
      <c r="I105" s="423">
        <f>SUM(GIMNAZIJŲ!I106, PROGIMNAZIJŲ!I106, PAGRINDINIŲ!I107, PRADINIŲ!I105)</f>
        <v>14</v>
      </c>
      <c r="J105" s="431">
        <f>SUM(GIMNAZIJŲ!J106, PROGIMNAZIJŲ!J106, PAGRINDINIŲ!J107, PRADINIŲ!J105)</f>
        <v>14</v>
      </c>
    </row>
    <row r="106" spans="2:10" x14ac:dyDescent="0.2">
      <c r="B106" s="430" t="s">
        <v>220</v>
      </c>
      <c r="C106" s="423">
        <f>SUM(GIMNAZIJŲ!C107, PROGIMNAZIJŲ!C107, PAGRINDINIŲ!C108, PRADINIŲ!C106)</f>
        <v>11</v>
      </c>
      <c r="D106" s="423">
        <f>SUM(GIMNAZIJŲ!D107, PROGIMNAZIJŲ!D107, PAGRINDINIŲ!D108, PRADINIŲ!D106)</f>
        <v>107139</v>
      </c>
      <c r="E106" s="423">
        <f>SUM(GIMNAZIJŲ!E107, PROGIMNAZIJŲ!E107, PAGRINDINIŲ!E108, PRADINIŲ!E106)</f>
        <v>3261</v>
      </c>
      <c r="F106" s="423">
        <f>SUM(GIMNAZIJŲ!F107, PROGIMNAZIJŲ!F107, PAGRINDINIŲ!F108, PRADINIŲ!F106)</f>
        <v>25746</v>
      </c>
      <c r="G106" s="423">
        <f>SUM(GIMNAZIJŲ!G107, PROGIMNAZIJŲ!G107, PAGRINDINIŲ!G108, PRADINIŲ!G106)</f>
        <v>39173</v>
      </c>
      <c r="H106" s="423">
        <f>SUM(GIMNAZIJŲ!H107, PROGIMNAZIJŲ!H107, PAGRINDINIŲ!H108, PRADINIŲ!H106)</f>
        <v>14</v>
      </c>
      <c r="I106" s="423">
        <f>SUM(GIMNAZIJŲ!I107, PROGIMNAZIJŲ!I107, PAGRINDINIŲ!I108, PRADINIŲ!I106)</f>
        <v>11</v>
      </c>
      <c r="J106" s="431">
        <f>SUM(GIMNAZIJŲ!J107, PROGIMNAZIJŲ!J107, PAGRINDINIŲ!J108, PRADINIŲ!J106)</f>
        <v>11</v>
      </c>
    </row>
    <row r="107" spans="2:10" x14ac:dyDescent="0.2">
      <c r="B107" s="430" t="s">
        <v>113</v>
      </c>
      <c r="C107" s="423">
        <f>SUM(GIMNAZIJŲ!C108, PROGIMNAZIJŲ!C108, PAGRINDINIŲ!C109, PRADINIŲ!C107)</f>
        <v>113</v>
      </c>
      <c r="D107" s="423">
        <f>SUM(GIMNAZIJŲ!D108, PROGIMNAZIJŲ!D108, PAGRINDINIŲ!D109, PRADINIŲ!D107)</f>
        <v>963720</v>
      </c>
      <c r="E107" s="423">
        <f>SUM(GIMNAZIJŲ!E108, PROGIMNAZIJŲ!E108, PAGRINDINIŲ!E109, PRADINIŲ!E107)</f>
        <v>61626</v>
      </c>
      <c r="F107" s="423">
        <f>SUM(GIMNAZIJŲ!F108, PROGIMNAZIJŲ!F108, PAGRINDINIŲ!F109, PRADINIŲ!F107)</f>
        <v>544790</v>
      </c>
      <c r="G107" s="423">
        <f>SUM(GIMNAZIJŲ!G108, PROGIMNAZIJŲ!G108, PAGRINDINIŲ!G109, PRADINIŲ!G107)</f>
        <v>772612</v>
      </c>
      <c r="H107" s="423">
        <f>SUM(GIMNAZIJŲ!H108, PROGIMNAZIJŲ!H108, PAGRINDINIŲ!H109, PRADINIŲ!H107)</f>
        <v>161</v>
      </c>
      <c r="I107" s="423">
        <f>SUM(GIMNAZIJŲ!I108, PROGIMNAZIJŲ!I108, PAGRINDINIŲ!I109, PRADINIŲ!I107)</f>
        <v>110</v>
      </c>
      <c r="J107" s="431">
        <f>SUM(GIMNAZIJŲ!J108, PROGIMNAZIJŲ!J108, PAGRINDINIŲ!J109, PRADINIŲ!J107)</f>
        <v>110</v>
      </c>
    </row>
    <row r="108" spans="2:10" x14ac:dyDescent="0.2">
      <c r="B108" s="430" t="s">
        <v>221</v>
      </c>
      <c r="C108" s="423">
        <f>SUM(GIMNAZIJŲ!C109, PROGIMNAZIJŲ!C109, PAGRINDINIŲ!C110, PRADINIŲ!C108)</f>
        <v>34</v>
      </c>
      <c r="D108" s="423">
        <f>SUM(GIMNAZIJŲ!D109, PROGIMNAZIJŲ!D109, PAGRINDINIŲ!D110, PRADINIŲ!D108)</f>
        <v>319046</v>
      </c>
      <c r="E108" s="423">
        <f>SUM(GIMNAZIJŲ!E109, PROGIMNAZIJŲ!E109, PAGRINDINIŲ!E110, PRADINIŲ!E108)</f>
        <v>8077</v>
      </c>
      <c r="F108" s="423">
        <f>SUM(GIMNAZIJŲ!F109, PROGIMNAZIJŲ!F109, PAGRINDINIŲ!F110, PRADINIŲ!F108)</f>
        <v>73706</v>
      </c>
      <c r="G108" s="423">
        <f>SUM(GIMNAZIJŲ!G109, PROGIMNAZIJŲ!G109, PAGRINDINIŲ!G110, PRADINIŲ!G108)</f>
        <v>123804</v>
      </c>
      <c r="H108" s="423">
        <f>SUM(GIMNAZIJŲ!H109, PROGIMNAZIJŲ!H109, PAGRINDINIŲ!H110, PRADINIŲ!H108)</f>
        <v>54</v>
      </c>
      <c r="I108" s="423">
        <f>SUM(GIMNAZIJŲ!I109, PROGIMNAZIJŲ!I109, PAGRINDINIŲ!I110, PRADINIŲ!I108)</f>
        <v>33</v>
      </c>
      <c r="J108" s="433">
        <f>SUM(GIMNAZIJŲ!J109, PROGIMNAZIJŲ!J109, PAGRINDINIŲ!J110, PRADINIŲ!J108)</f>
        <v>33</v>
      </c>
    </row>
    <row r="109" spans="2:10" ht="14.25" customHeight="1" x14ac:dyDescent="0.2">
      <c r="B109" s="434" t="s">
        <v>22</v>
      </c>
      <c r="C109" s="434">
        <f>SUM(C101:C108)</f>
        <v>206</v>
      </c>
      <c r="D109" s="434">
        <f t="shared" ref="D109:J109" si="9">SUM(D101:D108)</f>
        <v>1799947</v>
      </c>
      <c r="E109" s="434">
        <f t="shared" si="9"/>
        <v>85328</v>
      </c>
      <c r="F109" s="434">
        <f t="shared" si="9"/>
        <v>782798</v>
      </c>
      <c r="G109" s="434">
        <f t="shared" si="9"/>
        <v>1109082</v>
      </c>
      <c r="H109" s="434">
        <f t="shared" si="9"/>
        <v>289</v>
      </c>
      <c r="I109" s="434">
        <f t="shared" si="9"/>
        <v>199</v>
      </c>
      <c r="J109" s="434">
        <f t="shared" si="9"/>
        <v>199</v>
      </c>
    </row>
    <row r="110" spans="2:10" ht="18" customHeight="1" x14ac:dyDescent="0.2">
      <c r="B110" s="447" t="s">
        <v>115</v>
      </c>
      <c r="C110" s="447">
        <f t="shared" ref="C110:J110" si="10">C17+C27+C36+C43+C51+C79+C85+C91+C99+C109</f>
        <v>741</v>
      </c>
      <c r="D110" s="447">
        <f t="shared" si="10"/>
        <v>7374357</v>
      </c>
      <c r="E110" s="447">
        <f t="shared" si="10"/>
        <v>278752</v>
      </c>
      <c r="F110" s="447">
        <f t="shared" si="10"/>
        <v>2669885</v>
      </c>
      <c r="G110" s="447">
        <f t="shared" si="10"/>
        <v>3581078</v>
      </c>
      <c r="H110" s="447">
        <f t="shared" si="10"/>
        <v>990</v>
      </c>
      <c r="I110" s="447">
        <f t="shared" si="10"/>
        <v>719</v>
      </c>
      <c r="J110" s="447">
        <f t="shared" si="10"/>
        <v>719</v>
      </c>
    </row>
    <row r="111" spans="2:10" x14ac:dyDescent="0.2">
      <c r="B111" s="440"/>
    </row>
    <row r="112" spans="2:10" x14ac:dyDescent="0.2">
      <c r="B112" s="440"/>
    </row>
    <row r="113" spans="2:2" x14ac:dyDescent="0.2">
      <c r="B113" s="440"/>
    </row>
    <row r="114" spans="2:2" x14ac:dyDescent="0.2">
      <c r="B114" s="440"/>
    </row>
    <row r="115" spans="2:2" x14ac:dyDescent="0.2">
      <c r="B115" s="440"/>
    </row>
    <row r="116" spans="2:2" x14ac:dyDescent="0.2">
      <c r="B116" s="440"/>
    </row>
    <row r="117" spans="2:2" x14ac:dyDescent="0.2">
      <c r="B117" s="440"/>
    </row>
    <row r="118" spans="2:2" x14ac:dyDescent="0.2">
      <c r="B118" s="440"/>
    </row>
    <row r="119" spans="2:2" x14ac:dyDescent="0.2">
      <c r="B119" s="440"/>
    </row>
    <row r="120" spans="2:2" x14ac:dyDescent="0.2">
      <c r="B120" s="440"/>
    </row>
    <row r="121" spans="2:2" x14ac:dyDescent="0.2">
      <c r="B121" s="440"/>
    </row>
    <row r="122" spans="2:2" x14ac:dyDescent="0.2">
      <c r="B122" s="440"/>
    </row>
    <row r="123" spans="2:2" x14ac:dyDescent="0.2">
      <c r="B123" s="440"/>
    </row>
    <row r="124" spans="2:2" x14ac:dyDescent="0.2">
      <c r="B124" s="440"/>
    </row>
    <row r="125" spans="2:2" x14ac:dyDescent="0.2">
      <c r="B125" s="440"/>
    </row>
    <row r="126" spans="2:2" x14ac:dyDescent="0.2">
      <c r="B126" s="440"/>
    </row>
    <row r="127" spans="2:2" x14ac:dyDescent="0.2">
      <c r="B127" s="440"/>
    </row>
    <row r="128" spans="2:2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</sheetData>
  <mergeCells count="22">
    <mergeCell ref="G67:G69"/>
    <mergeCell ref="H67:H69"/>
    <mergeCell ref="I67:J68"/>
    <mergeCell ref="H7:H9"/>
    <mergeCell ref="I7:J8"/>
    <mergeCell ref="B62:J62"/>
    <mergeCell ref="I66:J66"/>
    <mergeCell ref="B67:B69"/>
    <mergeCell ref="C67:C69"/>
    <mergeCell ref="D67:D69"/>
    <mergeCell ref="E67:E69"/>
    <mergeCell ref="F67:F69"/>
    <mergeCell ref="B2:J2"/>
    <mergeCell ref="C3:H3"/>
    <mergeCell ref="I4:J4"/>
    <mergeCell ref="B5:J5"/>
    <mergeCell ref="B7:B9"/>
    <mergeCell ref="C7:C9"/>
    <mergeCell ref="D7:D9"/>
    <mergeCell ref="E7:E9"/>
    <mergeCell ref="F7:F9"/>
    <mergeCell ref="G7:G9"/>
  </mergeCells>
  <pageMargins left="0.84" right="0.75" top="1" bottom="1" header="0.5" footer="0.5"/>
  <pageSetup paperSize="9" scale="86" fitToHeight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71"/>
  <sheetViews>
    <sheetView topLeftCell="A82" zoomScale="98" zoomScaleNormal="98" workbookViewId="0">
      <selection activeCell="F111" sqref="F111"/>
    </sheetView>
  </sheetViews>
  <sheetFormatPr defaultColWidth="9.140625" defaultRowHeight="12" x14ac:dyDescent="0.2"/>
  <cols>
    <col min="1" max="1" width="9.140625" style="161"/>
    <col min="2" max="2" width="14.7109375" style="161" customWidth="1"/>
    <col min="3" max="3" width="8" style="440" customWidth="1"/>
    <col min="4" max="4" width="9.85546875" style="440" customWidth="1"/>
    <col min="5" max="5" width="8.5703125" style="440" customWidth="1"/>
    <col min="6" max="6" width="9.42578125" style="440" customWidth="1"/>
    <col min="7" max="7" width="10.85546875" style="161" customWidth="1"/>
    <col min="8" max="8" width="11.285156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166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173"/>
      <c r="C3" s="448"/>
      <c r="D3" s="449"/>
      <c r="E3" s="449"/>
      <c r="F3" s="449"/>
      <c r="G3" s="449"/>
      <c r="H3" s="449"/>
      <c r="I3" s="173"/>
      <c r="J3" s="173"/>
    </row>
    <row r="4" spans="2:21" s="175" customFormat="1" ht="15.75" x14ac:dyDescent="0.25">
      <c r="B4" s="1007"/>
      <c r="C4" s="1007"/>
      <c r="D4" s="450"/>
      <c r="E4" s="450"/>
      <c r="F4" s="450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3">
        <v>2</v>
      </c>
      <c r="D10" s="163">
        <v>3</v>
      </c>
      <c r="E10" s="163">
        <v>4</v>
      </c>
      <c r="F10" s="163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x14ac:dyDescent="0.2">
      <c r="B11" s="428" t="s">
        <v>151</v>
      </c>
      <c r="C11" s="443"/>
      <c r="D11" s="443"/>
      <c r="E11" s="443"/>
      <c r="F11" s="443"/>
      <c r="G11" s="423"/>
      <c r="H11" s="423"/>
      <c r="I11" s="423"/>
      <c r="J11" s="431"/>
    </row>
    <row r="12" spans="2:21" ht="12.75" x14ac:dyDescent="0.2">
      <c r="B12" s="430" t="s">
        <v>88</v>
      </c>
      <c r="C12" s="443">
        <v>4</v>
      </c>
      <c r="D12" s="443">
        <v>68811</v>
      </c>
      <c r="E12" s="443">
        <v>2132</v>
      </c>
      <c r="F12" s="443">
        <v>25864</v>
      </c>
      <c r="G12" s="423">
        <v>38147</v>
      </c>
      <c r="H12" s="423">
        <v>6</v>
      </c>
      <c r="I12" s="423">
        <v>4</v>
      </c>
      <c r="J12" s="431">
        <v>4</v>
      </c>
      <c r="U12" s="376"/>
    </row>
    <row r="13" spans="2:21" ht="12.75" x14ac:dyDescent="0.2">
      <c r="B13" s="430" t="s">
        <v>179</v>
      </c>
      <c r="C13" s="443">
        <v>0</v>
      </c>
      <c r="D13" s="443">
        <v>0</v>
      </c>
      <c r="E13" s="443">
        <v>0</v>
      </c>
      <c r="F13" s="443">
        <v>0</v>
      </c>
      <c r="G13" s="423">
        <v>0</v>
      </c>
      <c r="H13" s="423">
        <v>0</v>
      </c>
      <c r="I13" s="423">
        <v>0</v>
      </c>
      <c r="J13" s="431">
        <v>0</v>
      </c>
      <c r="U13" s="376"/>
    </row>
    <row r="14" spans="2:21" ht="12.75" x14ac:dyDescent="0.2">
      <c r="B14" s="430" t="s">
        <v>89</v>
      </c>
      <c r="C14" s="443">
        <v>1</v>
      </c>
      <c r="D14" s="443">
        <v>11103</v>
      </c>
      <c r="E14" s="443">
        <v>582</v>
      </c>
      <c r="F14" s="443">
        <v>27783</v>
      </c>
      <c r="G14" s="423">
        <v>15294</v>
      </c>
      <c r="H14" s="423">
        <v>1</v>
      </c>
      <c r="I14" s="423">
        <v>1</v>
      </c>
      <c r="J14" s="431">
        <v>1</v>
      </c>
      <c r="U14" s="376"/>
    </row>
    <row r="15" spans="2:21" x14ac:dyDescent="0.2">
      <c r="B15" s="430" t="s">
        <v>180</v>
      </c>
      <c r="C15" s="443">
        <v>3</v>
      </c>
      <c r="D15" s="443">
        <v>27760</v>
      </c>
      <c r="E15" s="443">
        <v>1087</v>
      </c>
      <c r="F15" s="443">
        <v>20234</v>
      </c>
      <c r="G15" s="423">
        <v>19410</v>
      </c>
      <c r="H15" s="423">
        <v>5</v>
      </c>
      <c r="I15" s="423">
        <v>3</v>
      </c>
      <c r="J15" s="431">
        <v>3</v>
      </c>
    </row>
    <row r="16" spans="2:21" x14ac:dyDescent="0.2">
      <c r="B16" s="430" t="s">
        <v>181</v>
      </c>
      <c r="C16" s="443">
        <v>3</v>
      </c>
      <c r="D16" s="443">
        <v>47128</v>
      </c>
      <c r="E16" s="443">
        <v>711</v>
      </c>
      <c r="F16" s="443">
        <v>8941</v>
      </c>
      <c r="G16" s="423">
        <v>7354</v>
      </c>
      <c r="H16" s="423">
        <v>3</v>
      </c>
      <c r="I16" s="423">
        <v>3</v>
      </c>
      <c r="J16" s="431">
        <v>3</v>
      </c>
    </row>
    <row r="17" spans="2:12" ht="16.5" customHeight="1" x14ac:dyDescent="0.2">
      <c r="B17" s="434" t="s">
        <v>22</v>
      </c>
      <c r="C17" s="434">
        <f>SUM(C12:C16)</f>
        <v>11</v>
      </c>
      <c r="D17" s="434">
        <f>SUM(D12:D16)</f>
        <v>154802</v>
      </c>
      <c r="E17" s="434">
        <f t="shared" ref="E17:J17" si="0">SUM(E12:E16)</f>
        <v>4512</v>
      </c>
      <c r="F17" s="434">
        <f t="shared" si="0"/>
        <v>82822</v>
      </c>
      <c r="G17" s="434">
        <f t="shared" si="0"/>
        <v>80205</v>
      </c>
      <c r="H17" s="434">
        <f t="shared" si="0"/>
        <v>15</v>
      </c>
      <c r="I17" s="434">
        <f>SUM(I12:I16)</f>
        <v>11</v>
      </c>
      <c r="J17" s="434">
        <f t="shared" si="0"/>
        <v>11</v>
      </c>
    </row>
    <row r="18" spans="2:12" x14ac:dyDescent="0.2">
      <c r="B18" s="428" t="s">
        <v>152</v>
      </c>
      <c r="C18" s="443"/>
      <c r="D18" s="443"/>
      <c r="E18" s="443"/>
      <c r="F18" s="443"/>
      <c r="G18" s="423"/>
      <c r="H18" s="423"/>
      <c r="I18" s="423"/>
      <c r="J18" s="431"/>
    </row>
    <row r="19" spans="2:12" x14ac:dyDescent="0.2">
      <c r="B19" s="430" t="s">
        <v>91</v>
      </c>
      <c r="C19" s="423">
        <v>1</v>
      </c>
      <c r="D19" s="423">
        <v>8903</v>
      </c>
      <c r="E19" s="423">
        <v>419</v>
      </c>
      <c r="F19" s="423">
        <v>1058</v>
      </c>
      <c r="G19" s="423">
        <v>8263</v>
      </c>
      <c r="H19" s="423">
        <v>1</v>
      </c>
      <c r="I19" s="423">
        <v>1</v>
      </c>
      <c r="J19" s="431">
        <v>1</v>
      </c>
    </row>
    <row r="20" spans="2:12" x14ac:dyDescent="0.2">
      <c r="B20" s="430" t="s">
        <v>182</v>
      </c>
      <c r="C20" s="443">
        <v>2</v>
      </c>
      <c r="D20" s="443">
        <v>31852</v>
      </c>
      <c r="E20" s="443">
        <v>1270</v>
      </c>
      <c r="F20" s="443">
        <v>17637</v>
      </c>
      <c r="G20" s="423">
        <v>24899</v>
      </c>
      <c r="H20" s="423">
        <v>4</v>
      </c>
      <c r="I20" s="423">
        <v>2</v>
      </c>
      <c r="J20" s="431">
        <v>2</v>
      </c>
    </row>
    <row r="21" spans="2:12" x14ac:dyDescent="0.2">
      <c r="B21" s="430" t="s">
        <v>183</v>
      </c>
      <c r="C21" s="443">
        <v>4</v>
      </c>
      <c r="D21" s="443">
        <v>64944</v>
      </c>
      <c r="E21" s="443">
        <v>1278</v>
      </c>
      <c r="F21" s="443">
        <v>14965</v>
      </c>
      <c r="G21" s="423">
        <v>46149</v>
      </c>
      <c r="H21" s="423">
        <v>5</v>
      </c>
      <c r="I21" s="423">
        <v>4</v>
      </c>
      <c r="J21" s="431">
        <v>4</v>
      </c>
    </row>
    <row r="22" spans="2:12" x14ac:dyDescent="0.2">
      <c r="B22" s="430" t="s">
        <v>92</v>
      </c>
      <c r="C22" s="443">
        <v>22</v>
      </c>
      <c r="D22" s="443">
        <v>221439</v>
      </c>
      <c r="E22" s="443">
        <v>13503</v>
      </c>
      <c r="F22" s="443">
        <v>117321</v>
      </c>
      <c r="G22" s="423">
        <v>139407</v>
      </c>
      <c r="H22" s="423">
        <v>34</v>
      </c>
      <c r="I22" s="423">
        <v>22</v>
      </c>
      <c r="J22" s="431">
        <v>22</v>
      </c>
    </row>
    <row r="23" spans="2:12" x14ac:dyDescent="0.2">
      <c r="B23" s="430" t="s">
        <v>184</v>
      </c>
      <c r="C23" s="443">
        <v>11</v>
      </c>
      <c r="D23" s="443">
        <v>98618</v>
      </c>
      <c r="E23" s="443">
        <v>4891</v>
      </c>
      <c r="F23" s="443">
        <v>58911</v>
      </c>
      <c r="G23" s="423">
        <v>73235</v>
      </c>
      <c r="H23" s="423">
        <v>14</v>
      </c>
      <c r="I23" s="423">
        <v>11</v>
      </c>
      <c r="J23" s="431">
        <v>11</v>
      </c>
    </row>
    <row r="24" spans="2:12" x14ac:dyDescent="0.2">
      <c r="B24" s="430" t="s">
        <v>185</v>
      </c>
      <c r="C24" s="443">
        <v>7</v>
      </c>
      <c r="D24" s="443">
        <v>80897</v>
      </c>
      <c r="E24" s="443">
        <v>2169</v>
      </c>
      <c r="F24" s="443">
        <v>26059</v>
      </c>
      <c r="G24" s="423">
        <v>47337</v>
      </c>
      <c r="H24" s="423">
        <v>10</v>
      </c>
      <c r="I24" s="423">
        <v>7</v>
      </c>
      <c r="J24" s="431">
        <v>7</v>
      </c>
    </row>
    <row r="25" spans="2:12" x14ac:dyDescent="0.2">
      <c r="B25" s="430" t="s">
        <v>186</v>
      </c>
      <c r="C25" s="443">
        <v>4</v>
      </c>
      <c r="D25" s="443">
        <v>42540</v>
      </c>
      <c r="E25" s="443">
        <v>1120</v>
      </c>
      <c r="F25" s="443">
        <v>4466</v>
      </c>
      <c r="G25" s="423">
        <v>3780</v>
      </c>
      <c r="H25" s="423">
        <v>4</v>
      </c>
      <c r="I25" s="423">
        <v>4</v>
      </c>
      <c r="J25" s="431">
        <v>4</v>
      </c>
    </row>
    <row r="26" spans="2:12" x14ac:dyDescent="0.2">
      <c r="B26" s="430" t="s">
        <v>187</v>
      </c>
      <c r="C26" s="443">
        <v>5</v>
      </c>
      <c r="D26" s="443">
        <v>68781</v>
      </c>
      <c r="E26" s="443">
        <v>1489</v>
      </c>
      <c r="F26" s="443">
        <v>24860</v>
      </c>
      <c r="G26" s="423">
        <v>58866</v>
      </c>
      <c r="H26" s="423">
        <v>8</v>
      </c>
      <c r="I26" s="423">
        <v>5</v>
      </c>
      <c r="J26" s="431">
        <v>5</v>
      </c>
    </row>
    <row r="27" spans="2:12" ht="15.75" customHeight="1" x14ac:dyDescent="0.2">
      <c r="B27" s="434" t="s">
        <v>22</v>
      </c>
      <c r="C27" s="434">
        <f>SUM(C19:C26)</f>
        <v>56</v>
      </c>
      <c r="D27" s="434">
        <f t="shared" ref="D27:J27" si="1">SUM(D19:D26)</f>
        <v>617974</v>
      </c>
      <c r="E27" s="434">
        <f t="shared" si="1"/>
        <v>26139</v>
      </c>
      <c r="F27" s="434">
        <f t="shared" si="1"/>
        <v>265277</v>
      </c>
      <c r="G27" s="434">
        <f t="shared" si="1"/>
        <v>401936</v>
      </c>
      <c r="H27" s="434">
        <f t="shared" si="1"/>
        <v>80</v>
      </c>
      <c r="I27" s="434">
        <f t="shared" si="1"/>
        <v>56</v>
      </c>
      <c r="J27" s="434">
        <f t="shared" si="1"/>
        <v>56</v>
      </c>
    </row>
    <row r="28" spans="2:12" x14ac:dyDescent="0.2">
      <c r="B28" s="428" t="s">
        <v>153</v>
      </c>
      <c r="C28" s="443"/>
      <c r="D28" s="443"/>
      <c r="E28" s="443"/>
      <c r="F28" s="443"/>
      <c r="G28" s="423"/>
      <c r="H28" s="423"/>
      <c r="I28" s="423"/>
      <c r="J28" s="431"/>
      <c r="K28" s="440"/>
      <c r="L28" s="440"/>
    </row>
    <row r="29" spans="2:12" x14ac:dyDescent="0.2">
      <c r="B29" s="430" t="s">
        <v>94</v>
      </c>
      <c r="C29" s="443">
        <v>12</v>
      </c>
      <c r="D29" s="443">
        <v>155803</v>
      </c>
      <c r="E29" s="443">
        <v>4120</v>
      </c>
      <c r="F29" s="443">
        <v>25591</v>
      </c>
      <c r="G29" s="423">
        <v>52694</v>
      </c>
      <c r="H29" s="423">
        <v>15</v>
      </c>
      <c r="I29" s="423">
        <v>12</v>
      </c>
      <c r="J29" s="431">
        <v>12</v>
      </c>
    </row>
    <row r="30" spans="2:12" x14ac:dyDescent="0.2">
      <c r="B30" s="430" t="s">
        <v>188</v>
      </c>
      <c r="C30" s="443">
        <v>3</v>
      </c>
      <c r="D30" s="443">
        <v>40798</v>
      </c>
      <c r="E30" s="443">
        <v>1897</v>
      </c>
      <c r="F30" s="443">
        <v>19040</v>
      </c>
      <c r="G30" s="423">
        <v>26042</v>
      </c>
      <c r="H30" s="423">
        <v>6</v>
      </c>
      <c r="I30" s="423">
        <v>3</v>
      </c>
      <c r="J30" s="431">
        <v>3</v>
      </c>
    </row>
    <row r="31" spans="2:12" x14ac:dyDescent="0.2">
      <c r="B31" s="430" t="s">
        <v>189</v>
      </c>
      <c r="C31" s="443">
        <v>5</v>
      </c>
      <c r="D31" s="443">
        <v>45176</v>
      </c>
      <c r="E31" s="443">
        <v>2537</v>
      </c>
      <c r="F31" s="443">
        <v>19387</v>
      </c>
      <c r="G31" s="423">
        <v>30657</v>
      </c>
      <c r="H31" s="423">
        <v>12</v>
      </c>
      <c r="I31" s="423">
        <v>5</v>
      </c>
      <c r="J31" s="431">
        <v>5</v>
      </c>
    </row>
    <row r="32" spans="2:12" x14ac:dyDescent="0.2">
      <c r="B32" s="430" t="s">
        <v>95</v>
      </c>
      <c r="C32" s="443">
        <v>1</v>
      </c>
      <c r="D32" s="443">
        <v>12267</v>
      </c>
      <c r="E32" s="443">
        <v>110</v>
      </c>
      <c r="F32" s="443">
        <v>1378</v>
      </c>
      <c r="G32" s="423">
        <v>1452</v>
      </c>
      <c r="H32" s="423">
        <v>1</v>
      </c>
      <c r="I32" s="423">
        <v>1</v>
      </c>
      <c r="J32" s="431">
        <v>1</v>
      </c>
    </row>
    <row r="33" spans="1:10" x14ac:dyDescent="0.2">
      <c r="B33" s="430" t="s">
        <v>96</v>
      </c>
      <c r="C33" s="443">
        <v>2</v>
      </c>
      <c r="D33" s="443">
        <v>18422</v>
      </c>
      <c r="E33" s="443">
        <v>1725</v>
      </c>
      <c r="F33" s="443">
        <v>484</v>
      </c>
      <c r="G33" s="423">
        <v>6879</v>
      </c>
      <c r="H33" s="423">
        <v>3</v>
      </c>
      <c r="I33" s="423">
        <v>2</v>
      </c>
      <c r="J33" s="431">
        <v>2</v>
      </c>
    </row>
    <row r="34" spans="1:10" x14ac:dyDescent="0.2">
      <c r="B34" s="430" t="s">
        <v>190</v>
      </c>
      <c r="C34" s="443">
        <v>3</v>
      </c>
      <c r="D34" s="443">
        <v>39729</v>
      </c>
      <c r="E34" s="443">
        <v>855</v>
      </c>
      <c r="F34" s="443">
        <v>12894</v>
      </c>
      <c r="G34" s="423">
        <v>9890</v>
      </c>
      <c r="H34" s="423">
        <v>3</v>
      </c>
      <c r="I34" s="423">
        <v>3</v>
      </c>
      <c r="J34" s="431">
        <v>3</v>
      </c>
    </row>
    <row r="35" spans="1:10" x14ac:dyDescent="0.2">
      <c r="B35" s="430" t="s">
        <v>191</v>
      </c>
      <c r="C35" s="443">
        <v>6</v>
      </c>
      <c r="D35" s="443">
        <v>68910</v>
      </c>
      <c r="E35" s="443">
        <v>1969</v>
      </c>
      <c r="F35" s="443">
        <v>25801</v>
      </c>
      <c r="G35" s="423">
        <v>41240</v>
      </c>
      <c r="H35" s="423">
        <v>8</v>
      </c>
      <c r="I35" s="423">
        <v>6</v>
      </c>
      <c r="J35" s="431">
        <v>6</v>
      </c>
    </row>
    <row r="36" spans="1:10" ht="14.25" customHeight="1" x14ac:dyDescent="0.2">
      <c r="B36" s="434" t="s">
        <v>22</v>
      </c>
      <c r="C36" s="434">
        <f>SUM(C29:C35)</f>
        <v>32</v>
      </c>
      <c r="D36" s="434">
        <f t="shared" ref="D36:J36" si="2">SUM(D29:D35)</f>
        <v>381105</v>
      </c>
      <c r="E36" s="434">
        <f t="shared" si="2"/>
        <v>13213</v>
      </c>
      <c r="F36" s="434">
        <f t="shared" si="2"/>
        <v>104575</v>
      </c>
      <c r="G36" s="434">
        <f t="shared" si="2"/>
        <v>168854</v>
      </c>
      <c r="H36" s="434">
        <f t="shared" si="2"/>
        <v>48</v>
      </c>
      <c r="I36" s="434">
        <f t="shared" si="2"/>
        <v>32</v>
      </c>
      <c r="J36" s="434">
        <f t="shared" si="2"/>
        <v>32</v>
      </c>
    </row>
    <row r="37" spans="1:10" x14ac:dyDescent="0.2">
      <c r="A37" s="440"/>
      <c r="B37" s="428" t="s">
        <v>97</v>
      </c>
      <c r="C37" s="443"/>
      <c r="D37" s="443"/>
      <c r="E37" s="443"/>
      <c r="F37" s="443"/>
      <c r="G37" s="423"/>
      <c r="H37" s="423"/>
      <c r="I37" s="423"/>
      <c r="J37" s="431"/>
    </row>
    <row r="38" spans="1:10" x14ac:dyDescent="0.2">
      <c r="B38" s="430" t="s">
        <v>98</v>
      </c>
      <c r="C38" s="443">
        <v>2</v>
      </c>
      <c r="D38" s="443">
        <v>37769</v>
      </c>
      <c r="E38" s="443">
        <v>649</v>
      </c>
      <c r="F38" s="443">
        <v>4891</v>
      </c>
      <c r="G38" s="423">
        <v>7631</v>
      </c>
      <c r="H38" s="423">
        <v>3</v>
      </c>
      <c r="I38" s="423">
        <v>2</v>
      </c>
      <c r="J38" s="431">
        <v>2</v>
      </c>
    </row>
    <row r="39" spans="1:10" x14ac:dyDescent="0.2">
      <c r="B39" s="430" t="s">
        <v>99</v>
      </c>
      <c r="C39" s="443">
        <v>1</v>
      </c>
      <c r="D39" s="443">
        <v>12106</v>
      </c>
      <c r="E39" s="443">
        <v>490</v>
      </c>
      <c r="F39" s="443">
        <v>7869</v>
      </c>
      <c r="G39" s="443">
        <v>4635</v>
      </c>
      <c r="H39" s="443">
        <v>2</v>
      </c>
      <c r="I39" s="443">
        <v>1</v>
      </c>
      <c r="J39" s="471">
        <v>1</v>
      </c>
    </row>
    <row r="40" spans="1:10" x14ac:dyDescent="0.2">
      <c r="B40" s="430" t="s">
        <v>100</v>
      </c>
      <c r="C40" s="443">
        <v>4</v>
      </c>
      <c r="D40" s="443">
        <v>58503</v>
      </c>
      <c r="E40" s="443">
        <v>1848</v>
      </c>
      <c r="F40" s="443">
        <v>11575</v>
      </c>
      <c r="G40" s="423">
        <v>26290</v>
      </c>
      <c r="H40" s="423">
        <v>6</v>
      </c>
      <c r="I40" s="423">
        <v>4</v>
      </c>
      <c r="J40" s="431">
        <v>4</v>
      </c>
    </row>
    <row r="41" spans="1:10" x14ac:dyDescent="0.2">
      <c r="B41" s="430" t="s">
        <v>192</v>
      </c>
      <c r="C41" s="443">
        <v>4</v>
      </c>
      <c r="D41" s="443">
        <v>40029</v>
      </c>
      <c r="E41" s="443">
        <v>1157</v>
      </c>
      <c r="F41" s="443">
        <v>17402</v>
      </c>
      <c r="G41" s="423">
        <v>30352</v>
      </c>
      <c r="H41" s="423">
        <v>6</v>
      </c>
      <c r="I41" s="423">
        <v>4</v>
      </c>
      <c r="J41" s="431">
        <v>4</v>
      </c>
    </row>
    <row r="42" spans="1:10" x14ac:dyDescent="0.2">
      <c r="B42" s="430" t="s">
        <v>193</v>
      </c>
      <c r="C42" s="443">
        <v>5</v>
      </c>
      <c r="D42" s="443">
        <v>68719</v>
      </c>
      <c r="E42" s="443">
        <v>1939</v>
      </c>
      <c r="F42" s="443">
        <v>13905</v>
      </c>
      <c r="G42" s="423">
        <v>46946</v>
      </c>
      <c r="H42" s="423">
        <v>8</v>
      </c>
      <c r="I42" s="423">
        <v>5</v>
      </c>
      <c r="J42" s="431">
        <v>5</v>
      </c>
    </row>
    <row r="43" spans="1:10" ht="15" customHeight="1" x14ac:dyDescent="0.2">
      <c r="B43" s="434" t="s">
        <v>22</v>
      </c>
      <c r="C43" s="434">
        <f>SUM(C38:C42)</f>
        <v>16</v>
      </c>
      <c r="D43" s="434">
        <f t="shared" ref="D43:J43" si="3">SUM(D38:D42)</f>
        <v>217126</v>
      </c>
      <c r="E43" s="434">
        <f t="shared" si="3"/>
        <v>6083</v>
      </c>
      <c r="F43" s="434">
        <f t="shared" si="3"/>
        <v>55642</v>
      </c>
      <c r="G43" s="434">
        <f t="shared" si="3"/>
        <v>115854</v>
      </c>
      <c r="H43" s="434">
        <f t="shared" si="3"/>
        <v>25</v>
      </c>
      <c r="I43" s="434">
        <f t="shared" si="3"/>
        <v>16</v>
      </c>
      <c r="J43" s="434">
        <f t="shared" si="3"/>
        <v>16</v>
      </c>
    </row>
    <row r="44" spans="1:10" x14ac:dyDescent="0.2">
      <c r="A44" s="440"/>
      <c r="B44" s="428" t="s">
        <v>154</v>
      </c>
      <c r="C44" s="443"/>
      <c r="D44" s="443"/>
      <c r="E44" s="443"/>
      <c r="F44" s="443"/>
      <c r="G44" s="423"/>
      <c r="H44" s="423"/>
      <c r="I44" s="423"/>
      <c r="J44" s="431"/>
    </row>
    <row r="45" spans="1:10" x14ac:dyDescent="0.2">
      <c r="B45" s="430" t="s">
        <v>194</v>
      </c>
      <c r="C45" s="443">
        <v>2</v>
      </c>
      <c r="D45" s="443">
        <v>41432</v>
      </c>
      <c r="E45" s="443">
        <v>764</v>
      </c>
      <c r="F45" s="443">
        <v>8686</v>
      </c>
      <c r="G45" s="423">
        <v>5581</v>
      </c>
      <c r="H45" s="423">
        <v>3</v>
      </c>
      <c r="I45" s="423">
        <v>2</v>
      </c>
      <c r="J45" s="431">
        <v>2</v>
      </c>
    </row>
    <row r="46" spans="1:10" x14ac:dyDescent="0.2">
      <c r="B46" s="430" t="s">
        <v>195</v>
      </c>
      <c r="C46" s="443">
        <v>2</v>
      </c>
      <c r="D46" s="443">
        <v>21832</v>
      </c>
      <c r="E46" s="443">
        <v>524</v>
      </c>
      <c r="F46" s="443">
        <v>4480</v>
      </c>
      <c r="G46" s="423">
        <v>4151</v>
      </c>
      <c r="H46" s="423">
        <v>3</v>
      </c>
      <c r="I46" s="423">
        <v>2</v>
      </c>
      <c r="J46" s="431">
        <v>2</v>
      </c>
    </row>
    <row r="47" spans="1:10" x14ac:dyDescent="0.2">
      <c r="B47" s="430" t="s">
        <v>102</v>
      </c>
      <c r="C47" s="443">
        <v>7</v>
      </c>
      <c r="D47" s="443">
        <v>85181</v>
      </c>
      <c r="E47" s="443">
        <v>2453</v>
      </c>
      <c r="F47" s="443">
        <v>22474</v>
      </c>
      <c r="G47" s="423">
        <v>44328</v>
      </c>
      <c r="H47" s="423">
        <v>10</v>
      </c>
      <c r="I47" s="423">
        <v>7</v>
      </c>
      <c r="J47" s="431">
        <v>7</v>
      </c>
    </row>
    <row r="48" spans="1:10" x14ac:dyDescent="0.2">
      <c r="B48" s="430" t="s">
        <v>196</v>
      </c>
      <c r="C48" s="443">
        <v>6</v>
      </c>
      <c r="D48" s="443">
        <v>95962</v>
      </c>
      <c r="E48" s="443">
        <v>1783</v>
      </c>
      <c r="F48" s="443">
        <v>23839</v>
      </c>
      <c r="G48" s="423">
        <v>20004</v>
      </c>
      <c r="H48" s="423">
        <v>9</v>
      </c>
      <c r="I48" s="423">
        <v>6</v>
      </c>
      <c r="J48" s="431">
        <v>6</v>
      </c>
    </row>
    <row r="49" spans="2:10" x14ac:dyDescent="0.2">
      <c r="B49" s="430" t="s">
        <v>197</v>
      </c>
      <c r="C49" s="443">
        <v>4</v>
      </c>
      <c r="D49" s="443">
        <v>62665</v>
      </c>
      <c r="E49" s="443">
        <v>1010</v>
      </c>
      <c r="F49" s="443">
        <v>4884</v>
      </c>
      <c r="G49" s="423">
        <v>30858</v>
      </c>
      <c r="H49" s="423">
        <v>4</v>
      </c>
      <c r="I49" s="423">
        <v>4</v>
      </c>
      <c r="J49" s="431">
        <v>4</v>
      </c>
    </row>
    <row r="50" spans="2:10" x14ac:dyDescent="0.2">
      <c r="B50" s="430" t="s">
        <v>198</v>
      </c>
      <c r="C50" s="443">
        <v>6</v>
      </c>
      <c r="D50" s="443">
        <v>85629</v>
      </c>
      <c r="E50" s="443">
        <v>1534</v>
      </c>
      <c r="F50" s="443">
        <v>14840</v>
      </c>
      <c r="G50" s="423">
        <v>15361</v>
      </c>
      <c r="H50" s="423">
        <v>8</v>
      </c>
      <c r="I50" s="423">
        <v>6</v>
      </c>
      <c r="J50" s="431">
        <v>6</v>
      </c>
    </row>
    <row r="51" spans="2:10" ht="15.75" customHeight="1" x14ac:dyDescent="0.2">
      <c r="B51" s="434" t="s">
        <v>22</v>
      </c>
      <c r="C51" s="434">
        <f>SUM(C45:C50)</f>
        <v>27</v>
      </c>
      <c r="D51" s="434">
        <f t="shared" ref="D51:J51" si="4">SUM(D45:D50)</f>
        <v>392701</v>
      </c>
      <c r="E51" s="434">
        <f t="shared" si="4"/>
        <v>8068</v>
      </c>
      <c r="F51" s="434">
        <f t="shared" si="4"/>
        <v>79203</v>
      </c>
      <c r="G51" s="434">
        <f t="shared" si="4"/>
        <v>120283</v>
      </c>
      <c r="H51" s="434">
        <f t="shared" si="4"/>
        <v>37</v>
      </c>
      <c r="I51" s="434">
        <f t="shared" si="4"/>
        <v>27</v>
      </c>
      <c r="J51" s="434">
        <f t="shared" si="4"/>
        <v>27</v>
      </c>
    </row>
    <row r="54" spans="2:10" x14ac:dyDescent="0.2">
      <c r="B54" s="423"/>
      <c r="C54" s="443"/>
      <c r="D54" s="443"/>
      <c r="E54" s="443"/>
      <c r="F54" s="443"/>
      <c r="G54" s="423"/>
      <c r="H54" s="423"/>
      <c r="I54" s="423"/>
      <c r="J54" s="423"/>
    </row>
    <row r="55" spans="2:10" x14ac:dyDescent="0.2">
      <c r="B55" s="423"/>
      <c r="C55" s="443"/>
      <c r="D55" s="443"/>
      <c r="E55" s="443"/>
      <c r="F55" s="443"/>
      <c r="G55" s="423"/>
      <c r="H55" s="423"/>
      <c r="I55" s="423"/>
      <c r="J55" s="423"/>
    </row>
    <row r="56" spans="2:10" x14ac:dyDescent="0.2">
      <c r="B56" s="423"/>
      <c r="C56" s="443"/>
      <c r="D56" s="443"/>
      <c r="E56" s="443"/>
      <c r="F56" s="443"/>
      <c r="G56" s="423"/>
      <c r="H56" s="423"/>
      <c r="I56" s="423"/>
      <c r="J56" s="423"/>
    </row>
    <row r="57" spans="2:10" x14ac:dyDescent="0.2">
      <c r="B57" s="423"/>
      <c r="C57" s="443"/>
      <c r="D57" s="443"/>
      <c r="E57" s="443"/>
      <c r="F57" s="443"/>
      <c r="G57" s="423"/>
      <c r="H57" s="423"/>
      <c r="I57" s="423"/>
      <c r="J57" s="423"/>
    </row>
    <row r="58" spans="2:10" x14ac:dyDescent="0.2">
      <c r="B58" s="423"/>
      <c r="C58" s="443"/>
      <c r="D58" s="443"/>
      <c r="E58" s="443"/>
      <c r="F58" s="443"/>
      <c r="G58" s="423"/>
      <c r="H58" s="423"/>
      <c r="I58" s="423"/>
      <c r="J58" s="423"/>
    </row>
    <row r="59" spans="2:10" x14ac:dyDescent="0.2">
      <c r="B59" s="423"/>
      <c r="C59" s="443"/>
      <c r="D59" s="443"/>
      <c r="E59" s="443"/>
      <c r="F59" s="443"/>
      <c r="G59" s="423"/>
      <c r="H59" s="423"/>
      <c r="I59" s="423"/>
      <c r="J59" s="423"/>
    </row>
    <row r="60" spans="2:10" x14ac:dyDescent="0.2">
      <c r="B60" s="423"/>
      <c r="C60" s="443"/>
      <c r="D60" s="443"/>
      <c r="E60" s="443"/>
      <c r="F60" s="443"/>
      <c r="G60" s="423"/>
      <c r="H60" s="423"/>
      <c r="I60" s="423"/>
      <c r="J60" s="423"/>
    </row>
    <row r="61" spans="2:10" x14ac:dyDescent="0.2">
      <c r="B61" s="443"/>
      <c r="C61" s="443"/>
      <c r="D61" s="443"/>
      <c r="E61" s="443"/>
      <c r="F61" s="443"/>
      <c r="G61" s="423"/>
      <c r="H61" s="423"/>
      <c r="I61" s="423"/>
      <c r="J61" s="423"/>
    </row>
    <row r="62" spans="2:10" s="175" customFormat="1" ht="15.75" x14ac:dyDescent="0.25">
      <c r="B62" s="1006"/>
      <c r="C62" s="1006"/>
      <c r="D62" s="1006"/>
      <c r="E62" s="1006"/>
      <c r="F62" s="1006"/>
      <c r="G62" s="1006"/>
      <c r="H62" s="1006"/>
      <c r="I62" s="1006"/>
      <c r="J62" s="1006"/>
    </row>
    <row r="63" spans="2:10" s="175" customFormat="1" ht="15.75" x14ac:dyDescent="0.25">
      <c r="B63" s="444"/>
      <c r="C63" s="451"/>
      <c r="D63" s="451"/>
      <c r="E63" s="451"/>
      <c r="F63" s="451"/>
      <c r="G63" s="176"/>
      <c r="H63" s="176"/>
      <c r="I63" s="1006"/>
      <c r="J63" s="1006"/>
    </row>
    <row r="64" spans="2:10" s="175" customFormat="1" ht="15.75" x14ac:dyDescent="0.25">
      <c r="B64" s="444"/>
      <c r="C64" s="451"/>
      <c r="D64" s="451"/>
      <c r="E64" s="451"/>
      <c r="F64" s="451"/>
      <c r="G64" s="176"/>
      <c r="H64" s="176"/>
      <c r="I64" s="557"/>
      <c r="J64" s="557"/>
    </row>
    <row r="65" spans="1:12" s="175" customFormat="1" ht="15.75" x14ac:dyDescent="0.25">
      <c r="B65" s="444"/>
      <c r="C65" s="451"/>
      <c r="D65" s="451"/>
      <c r="E65" s="451"/>
      <c r="F65" s="451"/>
      <c r="G65" s="176"/>
      <c r="H65" s="176"/>
      <c r="I65" s="557"/>
      <c r="J65" s="557"/>
    </row>
    <row r="66" spans="1:12" s="175" customFormat="1" ht="15.75" x14ac:dyDescent="0.25">
      <c r="B66" s="444"/>
      <c r="C66" s="451"/>
      <c r="D66" s="451"/>
      <c r="E66" s="451"/>
      <c r="F66" s="451"/>
      <c r="G66" s="176"/>
      <c r="H66" s="176"/>
      <c r="I66" s="557"/>
      <c r="J66" s="557"/>
    </row>
    <row r="67" spans="1:12" s="175" customFormat="1" ht="15.75" x14ac:dyDescent="0.25">
      <c r="B67" s="1008"/>
      <c r="C67" s="1008"/>
      <c r="D67" s="1008"/>
      <c r="E67" s="1008"/>
      <c r="F67" s="1008"/>
      <c r="G67" s="1008"/>
      <c r="H67" s="1008"/>
      <c r="I67" s="1008"/>
      <c r="J67" s="1008"/>
    </row>
    <row r="68" spans="1:12" s="425" customFormat="1" ht="11.25" x14ac:dyDescent="0.2">
      <c r="B68" s="968" t="s">
        <v>84</v>
      </c>
      <c r="C68" s="968" t="s">
        <v>85</v>
      </c>
      <c r="D68" s="968" t="s">
        <v>67</v>
      </c>
      <c r="E68" s="968" t="s">
        <v>68</v>
      </c>
      <c r="F68" s="968" t="s">
        <v>69</v>
      </c>
      <c r="G68" s="968" t="s">
        <v>70</v>
      </c>
      <c r="H68" s="968" t="s">
        <v>222</v>
      </c>
      <c r="I68" s="1001" t="s">
        <v>223</v>
      </c>
      <c r="J68" s="1002"/>
      <c r="K68" s="424"/>
      <c r="L68" s="424"/>
    </row>
    <row r="69" spans="1:12" s="425" customFormat="1" ht="11.25" x14ac:dyDescent="0.2">
      <c r="B69" s="969"/>
      <c r="C69" s="969"/>
      <c r="D69" s="969"/>
      <c r="E69" s="969"/>
      <c r="F69" s="969"/>
      <c r="G69" s="969"/>
      <c r="H69" s="969"/>
      <c r="I69" s="1003"/>
      <c r="J69" s="1004"/>
      <c r="K69" s="424"/>
      <c r="L69" s="424"/>
    </row>
    <row r="70" spans="1:12" s="425" customFormat="1" ht="11.25" x14ac:dyDescent="0.2">
      <c r="B70" s="970"/>
      <c r="C70" s="970"/>
      <c r="D70" s="970"/>
      <c r="E70" s="970"/>
      <c r="F70" s="970"/>
      <c r="G70" s="970"/>
      <c r="H70" s="970"/>
      <c r="I70" s="426" t="s">
        <v>73</v>
      </c>
      <c r="J70" s="427" t="s">
        <v>86</v>
      </c>
      <c r="K70" s="424"/>
      <c r="L70" s="424"/>
    </row>
    <row r="71" spans="1:12" x14ac:dyDescent="0.2">
      <c r="B71" s="435">
        <v>1</v>
      </c>
      <c r="C71" s="452">
        <v>2</v>
      </c>
      <c r="D71" s="452">
        <v>3</v>
      </c>
      <c r="E71" s="452">
        <v>4</v>
      </c>
      <c r="F71" s="452">
        <v>5</v>
      </c>
      <c r="G71" s="436">
        <v>6</v>
      </c>
      <c r="H71" s="436">
        <v>7</v>
      </c>
      <c r="I71" s="436">
        <v>8</v>
      </c>
      <c r="J71" s="436">
        <v>9</v>
      </c>
      <c r="K71" s="437"/>
      <c r="L71" s="437"/>
    </row>
    <row r="72" spans="1:12" x14ac:dyDescent="0.2">
      <c r="A72" s="440"/>
      <c r="B72" s="428" t="s">
        <v>155</v>
      </c>
      <c r="C72" s="443"/>
      <c r="D72" s="443"/>
      <c r="E72" s="443"/>
      <c r="F72" s="443"/>
      <c r="G72" s="423"/>
      <c r="H72" s="423"/>
      <c r="I72" s="423"/>
      <c r="J72" s="429"/>
      <c r="K72" s="437"/>
      <c r="L72" s="437"/>
    </row>
    <row r="73" spans="1:12" x14ac:dyDescent="0.2">
      <c r="B73" s="430" t="s">
        <v>199</v>
      </c>
      <c r="C73" s="443">
        <v>5</v>
      </c>
      <c r="D73" s="443">
        <v>71347</v>
      </c>
      <c r="E73" s="443">
        <v>1403</v>
      </c>
      <c r="F73" s="443">
        <v>10070</v>
      </c>
      <c r="G73" s="423">
        <v>19349</v>
      </c>
      <c r="H73" s="423">
        <v>5</v>
      </c>
      <c r="I73" s="423">
        <v>4</v>
      </c>
      <c r="J73" s="431">
        <v>4</v>
      </c>
      <c r="K73" s="437"/>
      <c r="L73" s="437"/>
    </row>
    <row r="74" spans="1:12" x14ac:dyDescent="0.2">
      <c r="B74" s="430" t="s">
        <v>200</v>
      </c>
      <c r="C74" s="443">
        <v>3</v>
      </c>
      <c r="D74" s="443">
        <v>36387</v>
      </c>
      <c r="E74" s="443">
        <v>805</v>
      </c>
      <c r="F74" s="443">
        <v>2044</v>
      </c>
      <c r="G74" s="423">
        <v>3004</v>
      </c>
      <c r="H74" s="423">
        <v>3</v>
      </c>
      <c r="I74" s="423">
        <v>3</v>
      </c>
      <c r="J74" s="431">
        <v>3</v>
      </c>
      <c r="K74" s="437"/>
      <c r="L74" s="437"/>
    </row>
    <row r="75" spans="1:12" x14ac:dyDescent="0.2">
      <c r="B75" s="430" t="s">
        <v>201</v>
      </c>
      <c r="C75" s="443">
        <v>6</v>
      </c>
      <c r="D75" s="443">
        <v>73808</v>
      </c>
      <c r="E75" s="443">
        <v>1319</v>
      </c>
      <c r="F75" s="443">
        <v>11052</v>
      </c>
      <c r="G75" s="423">
        <v>18903</v>
      </c>
      <c r="H75" s="423">
        <v>9</v>
      </c>
      <c r="I75" s="423">
        <v>6</v>
      </c>
      <c r="J75" s="431">
        <v>6</v>
      </c>
      <c r="K75" s="437"/>
      <c r="L75" s="437"/>
    </row>
    <row r="76" spans="1:12" x14ac:dyDescent="0.2">
      <c r="B76" s="430" t="s">
        <v>202</v>
      </c>
      <c r="C76" s="443">
        <v>3</v>
      </c>
      <c r="D76" s="443">
        <v>30503</v>
      </c>
      <c r="E76" s="443">
        <v>634</v>
      </c>
      <c r="F76" s="443">
        <v>7121</v>
      </c>
      <c r="G76" s="423">
        <v>22180</v>
      </c>
      <c r="H76" s="423">
        <v>3</v>
      </c>
      <c r="I76" s="423">
        <v>3</v>
      </c>
      <c r="J76" s="431">
        <v>3</v>
      </c>
      <c r="K76" s="437"/>
      <c r="L76" s="437"/>
    </row>
    <row r="77" spans="1:12" x14ac:dyDescent="0.2">
      <c r="B77" s="430" t="s">
        <v>203</v>
      </c>
      <c r="C77" s="443">
        <v>6</v>
      </c>
      <c r="D77" s="443">
        <v>73400</v>
      </c>
      <c r="E77" s="443">
        <v>1995</v>
      </c>
      <c r="F77" s="443">
        <v>27017</v>
      </c>
      <c r="G77" s="423">
        <v>54662</v>
      </c>
      <c r="H77" s="423">
        <v>7</v>
      </c>
      <c r="I77" s="423">
        <v>6</v>
      </c>
      <c r="J77" s="431">
        <v>6</v>
      </c>
      <c r="K77" s="437"/>
      <c r="L77" s="437"/>
    </row>
    <row r="78" spans="1:12" x14ac:dyDescent="0.2">
      <c r="B78" s="430" t="s">
        <v>104</v>
      </c>
      <c r="C78" s="443">
        <v>10</v>
      </c>
      <c r="D78" s="443">
        <v>113830</v>
      </c>
      <c r="E78" s="443">
        <v>5085</v>
      </c>
      <c r="F78" s="443">
        <v>44184</v>
      </c>
      <c r="G78" s="423">
        <v>34929</v>
      </c>
      <c r="H78" s="423">
        <v>13</v>
      </c>
      <c r="I78" s="423">
        <v>10</v>
      </c>
      <c r="J78" s="431">
        <v>10</v>
      </c>
      <c r="K78" s="437"/>
      <c r="L78" s="437"/>
    </row>
    <row r="79" spans="1:12" x14ac:dyDescent="0.2">
      <c r="B79" s="430" t="s">
        <v>204</v>
      </c>
      <c r="C79" s="443">
        <v>3</v>
      </c>
      <c r="D79" s="443">
        <v>17024</v>
      </c>
      <c r="E79" s="443">
        <v>848</v>
      </c>
      <c r="F79" s="443">
        <v>1613</v>
      </c>
      <c r="G79" s="423">
        <v>1204</v>
      </c>
      <c r="H79" s="423">
        <v>4</v>
      </c>
      <c r="I79" s="423">
        <v>3</v>
      </c>
      <c r="J79" s="433">
        <v>3</v>
      </c>
      <c r="K79" s="437"/>
      <c r="L79" s="437"/>
    </row>
    <row r="80" spans="1:12" ht="15" customHeight="1" x14ac:dyDescent="0.2">
      <c r="B80" s="434" t="s">
        <v>22</v>
      </c>
      <c r="C80" s="434">
        <f>SUM(C73:C79)</f>
        <v>36</v>
      </c>
      <c r="D80" s="434">
        <f t="shared" ref="D80:J80" si="5">SUM(D73:D79)</f>
        <v>416299</v>
      </c>
      <c r="E80" s="434">
        <f t="shared" si="5"/>
        <v>12089</v>
      </c>
      <c r="F80" s="434">
        <f t="shared" si="5"/>
        <v>103101</v>
      </c>
      <c r="G80" s="434">
        <f t="shared" si="5"/>
        <v>154231</v>
      </c>
      <c r="H80" s="434">
        <f t="shared" si="5"/>
        <v>44</v>
      </c>
      <c r="I80" s="434">
        <f t="shared" si="5"/>
        <v>35</v>
      </c>
      <c r="J80" s="434">
        <f t="shared" si="5"/>
        <v>35</v>
      </c>
      <c r="K80" s="437"/>
      <c r="L80" s="437"/>
    </row>
    <row r="81" spans="1:10" x14ac:dyDescent="0.2">
      <c r="A81" s="440"/>
      <c r="B81" s="428" t="s">
        <v>156</v>
      </c>
      <c r="C81" s="443"/>
      <c r="D81" s="443"/>
      <c r="E81" s="443"/>
      <c r="F81" s="443"/>
      <c r="G81" s="423"/>
      <c r="H81" s="423"/>
      <c r="I81" s="423"/>
      <c r="J81" s="431"/>
    </row>
    <row r="82" spans="1:10" x14ac:dyDescent="0.2">
      <c r="B82" s="430" t="s">
        <v>205</v>
      </c>
      <c r="C82" s="443">
        <v>3</v>
      </c>
      <c r="D82" s="443">
        <v>44124</v>
      </c>
      <c r="E82" s="443">
        <v>1028</v>
      </c>
      <c r="F82" s="443">
        <v>14727</v>
      </c>
      <c r="G82" s="423">
        <v>45311</v>
      </c>
      <c r="H82" s="423">
        <v>5</v>
      </c>
      <c r="I82" s="423">
        <v>3</v>
      </c>
      <c r="J82" s="431">
        <v>3</v>
      </c>
    </row>
    <row r="83" spans="1:10" x14ac:dyDescent="0.2">
      <c r="B83" s="430" t="s">
        <v>106</v>
      </c>
      <c r="C83" s="443">
        <v>2</v>
      </c>
      <c r="D83" s="443">
        <v>20372</v>
      </c>
      <c r="E83" s="443">
        <v>833</v>
      </c>
      <c r="F83" s="443">
        <v>8694</v>
      </c>
      <c r="G83" s="423">
        <v>12155</v>
      </c>
      <c r="H83" s="423">
        <v>2</v>
      </c>
      <c r="I83" s="423">
        <v>2</v>
      </c>
      <c r="J83" s="431">
        <v>2</v>
      </c>
    </row>
    <row r="84" spans="1:10" x14ac:dyDescent="0.2">
      <c r="B84" s="430" t="s">
        <v>206</v>
      </c>
      <c r="C84" s="443">
        <v>6</v>
      </c>
      <c r="D84" s="443">
        <v>86097</v>
      </c>
      <c r="E84" s="443">
        <v>1804</v>
      </c>
      <c r="F84" s="443">
        <v>67718</v>
      </c>
      <c r="G84" s="423">
        <v>65180</v>
      </c>
      <c r="H84" s="423">
        <v>4</v>
      </c>
      <c r="I84" s="423">
        <v>6</v>
      </c>
      <c r="J84" s="431">
        <v>6</v>
      </c>
    </row>
    <row r="85" spans="1:10" x14ac:dyDescent="0.2">
      <c r="B85" s="430" t="s">
        <v>207</v>
      </c>
      <c r="C85" s="443">
        <v>4</v>
      </c>
      <c r="D85" s="443">
        <v>65476</v>
      </c>
      <c r="E85" s="443">
        <v>1371</v>
      </c>
      <c r="F85" s="443">
        <v>8298</v>
      </c>
      <c r="G85" s="423">
        <v>6776</v>
      </c>
      <c r="H85" s="423">
        <v>4</v>
      </c>
      <c r="I85" s="423">
        <v>4</v>
      </c>
      <c r="J85" s="431">
        <v>4</v>
      </c>
    </row>
    <row r="86" spans="1:10" ht="14.25" customHeight="1" x14ac:dyDescent="0.2">
      <c r="B86" s="434" t="s">
        <v>22</v>
      </c>
      <c r="C86" s="434">
        <f>SUM(C82:C85)</f>
        <v>15</v>
      </c>
      <c r="D86" s="434">
        <f t="shared" ref="D86:J86" si="6">SUM(D82:D85)</f>
        <v>216069</v>
      </c>
      <c r="E86" s="434">
        <f t="shared" si="6"/>
        <v>5036</v>
      </c>
      <c r="F86" s="434">
        <f t="shared" si="6"/>
        <v>99437</v>
      </c>
      <c r="G86" s="434">
        <f t="shared" si="6"/>
        <v>129422</v>
      </c>
      <c r="H86" s="434">
        <f t="shared" si="6"/>
        <v>15</v>
      </c>
      <c r="I86" s="434">
        <f t="shared" si="6"/>
        <v>15</v>
      </c>
      <c r="J86" s="434">
        <f t="shared" si="6"/>
        <v>15</v>
      </c>
    </row>
    <row r="87" spans="1:10" x14ac:dyDescent="0.2">
      <c r="A87" s="440"/>
      <c r="B87" s="428" t="s">
        <v>157</v>
      </c>
      <c r="C87" s="443"/>
      <c r="D87" s="443"/>
      <c r="E87" s="443"/>
      <c r="F87" s="443"/>
      <c r="G87" s="423"/>
      <c r="H87" s="423"/>
      <c r="I87" s="423"/>
      <c r="J87" s="431"/>
    </row>
    <row r="88" spans="1:10" x14ac:dyDescent="0.2">
      <c r="B88" s="430" t="s">
        <v>208</v>
      </c>
      <c r="C88" s="443">
        <v>5</v>
      </c>
      <c r="D88" s="443">
        <v>46337</v>
      </c>
      <c r="E88" s="443">
        <v>2015</v>
      </c>
      <c r="F88" s="443">
        <v>20390</v>
      </c>
      <c r="G88" s="423">
        <v>17757</v>
      </c>
      <c r="H88" s="423">
        <v>8</v>
      </c>
      <c r="I88" s="423">
        <v>5</v>
      </c>
      <c r="J88" s="431">
        <v>5</v>
      </c>
    </row>
    <row r="89" spans="1:10" x14ac:dyDescent="0.2">
      <c r="B89" s="430" t="s">
        <v>209</v>
      </c>
      <c r="C89" s="443">
        <v>4</v>
      </c>
      <c r="D89" s="443">
        <v>53353</v>
      </c>
      <c r="E89" s="443">
        <v>1355</v>
      </c>
      <c r="F89" s="443">
        <v>8032</v>
      </c>
      <c r="G89" s="423">
        <v>5314</v>
      </c>
      <c r="H89" s="423">
        <v>5</v>
      </c>
      <c r="I89" s="423">
        <v>4</v>
      </c>
      <c r="J89" s="431">
        <v>4</v>
      </c>
    </row>
    <row r="90" spans="1:10" x14ac:dyDescent="0.2">
      <c r="B90" s="430" t="s">
        <v>108</v>
      </c>
      <c r="C90" s="443">
        <v>2</v>
      </c>
      <c r="D90" s="443">
        <v>33220</v>
      </c>
      <c r="E90" s="443">
        <v>635</v>
      </c>
      <c r="F90" s="443">
        <v>3364</v>
      </c>
      <c r="G90" s="423">
        <v>3246</v>
      </c>
      <c r="H90" s="423">
        <v>3</v>
      </c>
      <c r="I90" s="423">
        <v>2</v>
      </c>
      <c r="J90" s="431">
        <v>2</v>
      </c>
    </row>
    <row r="91" spans="1:10" x14ac:dyDescent="0.2">
      <c r="B91" s="430" t="s">
        <v>210</v>
      </c>
      <c r="C91" s="443">
        <v>6</v>
      </c>
      <c r="D91" s="443">
        <v>85749</v>
      </c>
      <c r="E91" s="443">
        <v>1832</v>
      </c>
      <c r="F91" s="443">
        <v>12756</v>
      </c>
      <c r="G91" s="423">
        <v>15165</v>
      </c>
      <c r="H91" s="423">
        <v>7</v>
      </c>
      <c r="I91" s="423">
        <v>6</v>
      </c>
      <c r="J91" s="431">
        <v>6</v>
      </c>
    </row>
    <row r="92" spans="1:10" ht="15.75" customHeight="1" x14ac:dyDescent="0.2">
      <c r="B92" s="434" t="s">
        <v>22</v>
      </c>
      <c r="C92" s="434">
        <f>SUM(C88:C91)</f>
        <v>17</v>
      </c>
      <c r="D92" s="434">
        <f t="shared" ref="D92:J92" si="7">SUM(D88:D91)</f>
        <v>218659</v>
      </c>
      <c r="E92" s="434">
        <f t="shared" si="7"/>
        <v>5837</v>
      </c>
      <c r="F92" s="434">
        <f t="shared" si="7"/>
        <v>44542</v>
      </c>
      <c r="G92" s="434">
        <f t="shared" si="7"/>
        <v>41482</v>
      </c>
      <c r="H92" s="434">
        <f t="shared" si="7"/>
        <v>23</v>
      </c>
      <c r="I92" s="434">
        <f t="shared" si="7"/>
        <v>17</v>
      </c>
      <c r="J92" s="434">
        <f t="shared" si="7"/>
        <v>17</v>
      </c>
    </row>
    <row r="93" spans="1:10" x14ac:dyDescent="0.2">
      <c r="B93" s="428" t="s">
        <v>158</v>
      </c>
      <c r="C93" s="443"/>
      <c r="D93" s="443"/>
      <c r="E93" s="443"/>
      <c r="F93" s="443"/>
      <c r="G93" s="423"/>
      <c r="H93" s="423"/>
      <c r="I93" s="423"/>
      <c r="J93" s="431"/>
    </row>
    <row r="94" spans="1:10" x14ac:dyDescent="0.2">
      <c r="B94" s="430" t="s">
        <v>211</v>
      </c>
      <c r="C94" s="443">
        <v>3</v>
      </c>
      <c r="D94" s="443">
        <v>36223</v>
      </c>
      <c r="E94" s="443">
        <v>875</v>
      </c>
      <c r="F94" s="443">
        <v>9142</v>
      </c>
      <c r="G94" s="423">
        <v>13724</v>
      </c>
      <c r="H94" s="423">
        <v>4</v>
      </c>
      <c r="I94" s="423">
        <v>3</v>
      </c>
      <c r="J94" s="431">
        <v>3</v>
      </c>
    </row>
    <row r="95" spans="1:10" x14ac:dyDescent="0.2">
      <c r="B95" s="430" t="s">
        <v>212</v>
      </c>
      <c r="C95" s="443">
        <v>3</v>
      </c>
      <c r="D95" s="443">
        <v>46849</v>
      </c>
      <c r="E95" s="443">
        <v>1134</v>
      </c>
      <c r="F95" s="443">
        <v>10663</v>
      </c>
      <c r="G95" s="423">
        <v>14479</v>
      </c>
      <c r="H95" s="423">
        <v>7</v>
      </c>
      <c r="I95" s="423">
        <v>3</v>
      </c>
      <c r="J95" s="431">
        <v>3</v>
      </c>
    </row>
    <row r="96" spans="1:10" x14ac:dyDescent="0.2">
      <c r="B96" s="430" t="s">
        <v>213</v>
      </c>
      <c r="C96" s="423">
        <v>2</v>
      </c>
      <c r="D96" s="423">
        <v>23090</v>
      </c>
      <c r="E96" s="423">
        <v>516</v>
      </c>
      <c r="F96" s="423">
        <v>6096</v>
      </c>
      <c r="G96" s="423">
        <v>3946</v>
      </c>
      <c r="H96" s="423">
        <v>2</v>
      </c>
      <c r="I96" s="423">
        <v>2</v>
      </c>
      <c r="J96" s="431">
        <v>2</v>
      </c>
    </row>
    <row r="97" spans="2:10" x14ac:dyDescent="0.2">
      <c r="B97" s="430" t="s">
        <v>214</v>
      </c>
      <c r="C97" s="423">
        <v>3</v>
      </c>
      <c r="D97" s="423">
        <v>20588</v>
      </c>
      <c r="E97" s="423">
        <v>855</v>
      </c>
      <c r="F97" s="423">
        <v>14151</v>
      </c>
      <c r="G97" s="423">
        <v>14361</v>
      </c>
      <c r="H97" s="423">
        <v>5</v>
      </c>
      <c r="I97" s="423">
        <v>3</v>
      </c>
      <c r="J97" s="431">
        <v>3</v>
      </c>
    </row>
    <row r="98" spans="2:10" x14ac:dyDescent="0.2">
      <c r="B98" s="430" t="s">
        <v>110</v>
      </c>
      <c r="C98" s="443">
        <v>2</v>
      </c>
      <c r="D98" s="443">
        <v>19063</v>
      </c>
      <c r="E98" s="443">
        <v>604</v>
      </c>
      <c r="F98" s="443">
        <v>6809</v>
      </c>
      <c r="G98" s="423">
        <v>5147</v>
      </c>
      <c r="H98" s="423">
        <v>2</v>
      </c>
      <c r="I98" s="423">
        <v>2</v>
      </c>
      <c r="J98" s="431">
        <v>2</v>
      </c>
    </row>
    <row r="99" spans="2:10" x14ac:dyDescent="0.2">
      <c r="B99" s="430" t="s">
        <v>215</v>
      </c>
      <c r="C99" s="443">
        <v>1</v>
      </c>
      <c r="D99" s="443">
        <v>13213</v>
      </c>
      <c r="E99" s="443">
        <v>241</v>
      </c>
      <c r="F99" s="443">
        <v>1067</v>
      </c>
      <c r="G99" s="423">
        <v>673</v>
      </c>
      <c r="H99" s="423">
        <v>2</v>
      </c>
      <c r="I99" s="423">
        <v>1</v>
      </c>
      <c r="J99" s="431">
        <v>1</v>
      </c>
    </row>
    <row r="100" spans="2:10" ht="14.25" customHeight="1" x14ac:dyDescent="0.2">
      <c r="B100" s="434" t="s">
        <v>22</v>
      </c>
      <c r="C100" s="434">
        <f>SUM(C94:C99)</f>
        <v>14</v>
      </c>
      <c r="D100" s="434">
        <f t="shared" ref="D100:J100" si="8">SUM(D94:D99)</f>
        <v>159026</v>
      </c>
      <c r="E100" s="434">
        <f t="shared" si="8"/>
        <v>4225</v>
      </c>
      <c r="F100" s="434">
        <f t="shared" si="8"/>
        <v>47928</v>
      </c>
      <c r="G100" s="434">
        <f t="shared" si="8"/>
        <v>52330</v>
      </c>
      <c r="H100" s="434">
        <f t="shared" si="8"/>
        <v>22</v>
      </c>
      <c r="I100" s="434">
        <f t="shared" si="8"/>
        <v>14</v>
      </c>
      <c r="J100" s="434">
        <f t="shared" si="8"/>
        <v>14</v>
      </c>
    </row>
    <row r="101" spans="2:10" x14ac:dyDescent="0.2">
      <c r="B101" s="428" t="s">
        <v>159</v>
      </c>
      <c r="C101" s="443"/>
      <c r="D101" s="443"/>
      <c r="E101" s="443"/>
      <c r="F101" s="443"/>
      <c r="G101" s="423"/>
      <c r="H101" s="423"/>
      <c r="I101" s="423"/>
      <c r="J101" s="431"/>
    </row>
    <row r="102" spans="2:10" x14ac:dyDescent="0.2">
      <c r="B102" s="430" t="s">
        <v>112</v>
      </c>
      <c r="C102" s="443">
        <v>3</v>
      </c>
      <c r="D102" s="443">
        <v>43767</v>
      </c>
      <c r="E102" s="443">
        <v>1113</v>
      </c>
      <c r="F102" s="443">
        <v>2373</v>
      </c>
      <c r="G102" s="423">
        <v>2301</v>
      </c>
      <c r="H102" s="423">
        <v>7</v>
      </c>
      <c r="I102" s="423">
        <v>3</v>
      </c>
      <c r="J102" s="431">
        <v>3</v>
      </c>
    </row>
    <row r="103" spans="2:10" x14ac:dyDescent="0.2">
      <c r="B103" s="430" t="s">
        <v>216</v>
      </c>
      <c r="C103" s="443">
        <v>13</v>
      </c>
      <c r="D103" s="443">
        <v>81501</v>
      </c>
      <c r="E103" s="443">
        <v>3178</v>
      </c>
      <c r="F103" s="443">
        <v>44471</v>
      </c>
      <c r="G103" s="423">
        <v>58056</v>
      </c>
      <c r="H103" s="423">
        <v>13</v>
      </c>
      <c r="I103" s="423">
        <v>13</v>
      </c>
      <c r="J103" s="431">
        <v>13</v>
      </c>
    </row>
    <row r="104" spans="2:10" x14ac:dyDescent="0.2">
      <c r="B104" s="430" t="s">
        <v>217</v>
      </c>
      <c r="C104" s="443">
        <v>3</v>
      </c>
      <c r="D104" s="443">
        <v>23674</v>
      </c>
      <c r="E104" s="443">
        <v>760</v>
      </c>
      <c r="F104" s="443">
        <v>15713</v>
      </c>
      <c r="G104" s="423">
        <v>17480</v>
      </c>
      <c r="H104" s="423">
        <v>3</v>
      </c>
      <c r="I104" s="423">
        <v>3</v>
      </c>
      <c r="J104" s="431">
        <v>3</v>
      </c>
    </row>
    <row r="105" spans="2:10" x14ac:dyDescent="0.2">
      <c r="B105" s="430" t="s">
        <v>218</v>
      </c>
      <c r="C105" s="443">
        <v>4</v>
      </c>
      <c r="D105" s="443">
        <v>82034</v>
      </c>
      <c r="E105" s="443">
        <v>2049</v>
      </c>
      <c r="F105" s="443">
        <v>21935</v>
      </c>
      <c r="G105" s="423">
        <v>24050</v>
      </c>
      <c r="H105" s="423">
        <v>7</v>
      </c>
      <c r="I105" s="423">
        <v>4</v>
      </c>
      <c r="J105" s="431">
        <v>4</v>
      </c>
    </row>
    <row r="106" spans="2:10" x14ac:dyDescent="0.2">
      <c r="B106" s="430" t="s">
        <v>219</v>
      </c>
      <c r="C106" s="443">
        <v>11</v>
      </c>
      <c r="D106" s="443">
        <v>99415</v>
      </c>
      <c r="E106" s="443">
        <v>2480</v>
      </c>
      <c r="F106" s="443">
        <v>19590</v>
      </c>
      <c r="G106" s="423">
        <v>36681</v>
      </c>
      <c r="H106" s="423">
        <v>14</v>
      </c>
      <c r="I106" s="423">
        <v>11</v>
      </c>
      <c r="J106" s="431">
        <v>11</v>
      </c>
    </row>
    <row r="107" spans="2:10" x14ac:dyDescent="0.2">
      <c r="B107" s="430" t="s">
        <v>220</v>
      </c>
      <c r="C107" s="443">
        <v>5</v>
      </c>
      <c r="D107" s="443">
        <v>42990</v>
      </c>
      <c r="E107" s="443">
        <v>1321</v>
      </c>
      <c r="F107" s="443">
        <v>10529</v>
      </c>
      <c r="G107" s="423">
        <v>23775</v>
      </c>
      <c r="H107" s="423">
        <v>8</v>
      </c>
      <c r="I107" s="423">
        <v>5</v>
      </c>
      <c r="J107" s="431">
        <v>5</v>
      </c>
    </row>
    <row r="108" spans="2:10" x14ac:dyDescent="0.2">
      <c r="B108" s="430" t="s">
        <v>113</v>
      </c>
      <c r="C108" s="443">
        <v>47</v>
      </c>
      <c r="D108" s="443">
        <v>513608</v>
      </c>
      <c r="E108" s="440">
        <v>28514</v>
      </c>
      <c r="F108" s="443">
        <v>236799</v>
      </c>
      <c r="G108" s="443">
        <v>340712</v>
      </c>
      <c r="H108" s="423">
        <v>77</v>
      </c>
      <c r="I108" s="423">
        <v>47</v>
      </c>
      <c r="J108" s="431">
        <v>47</v>
      </c>
    </row>
    <row r="109" spans="2:10" x14ac:dyDescent="0.2">
      <c r="B109" s="430" t="s">
        <v>221</v>
      </c>
      <c r="C109" s="443">
        <v>24</v>
      </c>
      <c r="D109" s="443">
        <v>281515</v>
      </c>
      <c r="E109" s="443">
        <v>7286</v>
      </c>
      <c r="F109" s="443">
        <v>69361</v>
      </c>
      <c r="G109" s="423">
        <v>119182</v>
      </c>
      <c r="H109" s="423">
        <v>41</v>
      </c>
      <c r="I109" s="423">
        <v>24</v>
      </c>
      <c r="J109" s="431">
        <v>24</v>
      </c>
    </row>
    <row r="110" spans="2:10" ht="14.25" customHeight="1" x14ac:dyDescent="0.2">
      <c r="B110" s="434" t="s">
        <v>22</v>
      </c>
      <c r="C110" s="434">
        <f>SUM(C102:C109)</f>
        <v>110</v>
      </c>
      <c r="D110" s="434">
        <f t="shared" ref="D110:J110" si="9">SUM(D102:D109)</f>
        <v>1168504</v>
      </c>
      <c r="E110" s="434">
        <f t="shared" si="9"/>
        <v>46701</v>
      </c>
      <c r="F110" s="434">
        <f t="shared" si="9"/>
        <v>420771</v>
      </c>
      <c r="G110" s="434">
        <f t="shared" si="9"/>
        <v>622237</v>
      </c>
      <c r="H110" s="434">
        <f t="shared" si="9"/>
        <v>170</v>
      </c>
      <c r="I110" s="434">
        <f t="shared" si="9"/>
        <v>110</v>
      </c>
      <c r="J110" s="434">
        <f t="shared" si="9"/>
        <v>110</v>
      </c>
    </row>
    <row r="111" spans="2:10" ht="18" customHeight="1" x14ac:dyDescent="0.2">
      <c r="B111" s="447" t="s">
        <v>115</v>
      </c>
      <c r="C111" s="447">
        <f t="shared" ref="C111:J111" si="10">C17+C27+C36+C43+C51+C80+C86+C92+C100+C110</f>
        <v>334</v>
      </c>
      <c r="D111" s="447">
        <f t="shared" si="10"/>
        <v>3942265</v>
      </c>
      <c r="E111" s="447">
        <f t="shared" si="10"/>
        <v>131903</v>
      </c>
      <c r="F111" s="447">
        <f t="shared" si="10"/>
        <v>1303298</v>
      </c>
      <c r="G111" s="447">
        <f t="shared" si="10"/>
        <v>1886834</v>
      </c>
      <c r="H111" s="447">
        <f t="shared" si="10"/>
        <v>479</v>
      </c>
      <c r="I111" s="447">
        <f t="shared" si="10"/>
        <v>333</v>
      </c>
      <c r="J111" s="447">
        <f t="shared" si="10"/>
        <v>333</v>
      </c>
    </row>
    <row r="112" spans="2:10" x14ac:dyDescent="0.2">
      <c r="B112" s="440"/>
    </row>
    <row r="113" spans="2:2" x14ac:dyDescent="0.2">
      <c r="B113" s="440"/>
    </row>
    <row r="114" spans="2:2" x14ac:dyDescent="0.2">
      <c r="B114" s="440"/>
    </row>
    <row r="115" spans="2:2" x14ac:dyDescent="0.2">
      <c r="B115" s="440"/>
    </row>
    <row r="116" spans="2:2" x14ac:dyDescent="0.2">
      <c r="B116" s="440"/>
    </row>
    <row r="117" spans="2:2" x14ac:dyDescent="0.2">
      <c r="B117" s="440"/>
    </row>
    <row r="118" spans="2:2" x14ac:dyDescent="0.2">
      <c r="B118" s="440"/>
    </row>
    <row r="119" spans="2:2" x14ac:dyDescent="0.2">
      <c r="B119" s="440"/>
    </row>
    <row r="120" spans="2:2" x14ac:dyDescent="0.2">
      <c r="B120" s="440"/>
    </row>
    <row r="121" spans="2:2" x14ac:dyDescent="0.2">
      <c r="B121" s="440"/>
    </row>
    <row r="122" spans="2:2" x14ac:dyDescent="0.2">
      <c r="B122" s="440"/>
    </row>
    <row r="123" spans="2:2" x14ac:dyDescent="0.2">
      <c r="B123" s="440"/>
    </row>
    <row r="124" spans="2:2" x14ac:dyDescent="0.2">
      <c r="B124" s="440"/>
    </row>
    <row r="125" spans="2:2" x14ac:dyDescent="0.2">
      <c r="B125" s="440"/>
    </row>
    <row r="126" spans="2:2" x14ac:dyDescent="0.2">
      <c r="B126" s="440"/>
    </row>
    <row r="127" spans="2:2" x14ac:dyDescent="0.2">
      <c r="B127" s="440"/>
    </row>
    <row r="128" spans="2:2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</sheetData>
  <mergeCells count="23">
    <mergeCell ref="H68:H70"/>
    <mergeCell ref="I68:J69"/>
    <mergeCell ref="I7:J8"/>
    <mergeCell ref="B62:J62"/>
    <mergeCell ref="I63:J63"/>
    <mergeCell ref="B67:J67"/>
    <mergeCell ref="B68:B70"/>
    <mergeCell ref="C68:C70"/>
    <mergeCell ref="D68:D70"/>
    <mergeCell ref="E68:E70"/>
    <mergeCell ref="F68:F70"/>
    <mergeCell ref="G68:G70"/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  <mergeCell ref="B4:C4"/>
  </mergeCells>
  <pageMargins left="0.93" right="0.75" top="1" bottom="1" header="0" footer="0"/>
  <pageSetup paperSize="9" scale="85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173"/>
  <sheetViews>
    <sheetView topLeftCell="A85" zoomScaleNormal="100" workbookViewId="0">
      <selection activeCell="F111" sqref="F111"/>
    </sheetView>
  </sheetViews>
  <sheetFormatPr defaultColWidth="9.140625" defaultRowHeight="12" x14ac:dyDescent="0.2"/>
  <cols>
    <col min="1" max="1" width="9.140625" style="161"/>
    <col min="2" max="2" width="15.2851562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1" style="161" customWidth="1"/>
    <col min="8" max="8" width="11.1406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167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173"/>
      <c r="C3" s="173"/>
      <c r="D3" s="449"/>
      <c r="E3" s="449"/>
      <c r="F3" s="449"/>
      <c r="G3" s="449"/>
      <c r="H3" s="449"/>
      <c r="I3" s="449"/>
      <c r="J3" s="173"/>
    </row>
    <row r="4" spans="2:21" s="175" customFormat="1" ht="15.75" x14ac:dyDescent="0.25">
      <c r="B4" s="174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227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2.7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  <c r="U10" s="376"/>
    </row>
    <row r="11" spans="2:21" ht="12.75" x14ac:dyDescent="0.2">
      <c r="B11" s="428" t="s">
        <v>151</v>
      </c>
      <c r="C11" s="423"/>
      <c r="D11" s="423"/>
      <c r="E11" s="423"/>
      <c r="F11" s="423"/>
      <c r="G11" s="423"/>
      <c r="H11" s="423"/>
      <c r="I11" s="423"/>
      <c r="J11" s="431"/>
      <c r="U11" s="376"/>
    </row>
    <row r="12" spans="2:21" ht="12.75" x14ac:dyDescent="0.2">
      <c r="B12" s="430" t="s">
        <v>88</v>
      </c>
      <c r="C12" s="423">
        <v>7</v>
      </c>
      <c r="D12" s="423">
        <v>85229</v>
      </c>
      <c r="E12" s="423">
        <v>2640</v>
      </c>
      <c r="F12" s="423">
        <v>33383</v>
      </c>
      <c r="G12" s="423">
        <v>40402</v>
      </c>
      <c r="H12" s="423">
        <v>9</v>
      </c>
      <c r="I12" s="423">
        <v>7</v>
      </c>
      <c r="J12" s="431">
        <v>7</v>
      </c>
      <c r="U12" s="376"/>
    </row>
    <row r="13" spans="2:21" ht="12.75" x14ac:dyDescent="0.2">
      <c r="B13" s="430" t="s">
        <v>179</v>
      </c>
      <c r="C13" s="423">
        <v>0</v>
      </c>
      <c r="D13" s="423">
        <v>0</v>
      </c>
      <c r="E13" s="423">
        <v>0</v>
      </c>
      <c r="F13" s="423">
        <v>0</v>
      </c>
      <c r="G13" s="423">
        <v>0</v>
      </c>
      <c r="H13" s="423">
        <v>0</v>
      </c>
      <c r="I13" s="423">
        <v>0</v>
      </c>
      <c r="J13" s="431">
        <v>0</v>
      </c>
      <c r="U13" s="376"/>
    </row>
    <row r="14" spans="2:21" ht="12.75" x14ac:dyDescent="0.2">
      <c r="B14" s="430" t="s">
        <v>89</v>
      </c>
      <c r="C14" s="423">
        <v>2</v>
      </c>
      <c r="D14" s="423">
        <v>15346</v>
      </c>
      <c r="E14" s="423">
        <v>342</v>
      </c>
      <c r="F14" s="423">
        <v>1295</v>
      </c>
      <c r="G14" s="423">
        <v>4122</v>
      </c>
      <c r="H14" s="423">
        <v>3</v>
      </c>
      <c r="I14" s="423">
        <v>2</v>
      </c>
      <c r="J14" s="431">
        <v>2</v>
      </c>
      <c r="U14" s="376"/>
    </row>
    <row r="15" spans="2:21" ht="12.75" x14ac:dyDescent="0.2">
      <c r="B15" s="430" t="s">
        <v>180</v>
      </c>
      <c r="C15" s="423">
        <v>0</v>
      </c>
      <c r="D15" s="423">
        <v>0</v>
      </c>
      <c r="E15" s="423">
        <v>0</v>
      </c>
      <c r="F15" s="423">
        <v>0</v>
      </c>
      <c r="G15" s="423">
        <v>0</v>
      </c>
      <c r="H15" s="423">
        <v>0</v>
      </c>
      <c r="I15" s="423">
        <v>0</v>
      </c>
      <c r="J15" s="431">
        <v>0</v>
      </c>
      <c r="U15" s="376"/>
    </row>
    <row r="16" spans="2:21" x14ac:dyDescent="0.2">
      <c r="B16" s="430" t="s">
        <v>181</v>
      </c>
      <c r="C16" s="423">
        <v>1</v>
      </c>
      <c r="D16" s="423">
        <v>15049</v>
      </c>
      <c r="E16" s="423">
        <v>580</v>
      </c>
      <c r="F16" s="423">
        <v>3949</v>
      </c>
      <c r="G16" s="423">
        <v>4310</v>
      </c>
      <c r="H16" s="423">
        <v>1</v>
      </c>
      <c r="I16" s="423">
        <v>1</v>
      </c>
      <c r="J16" s="431">
        <v>1</v>
      </c>
    </row>
    <row r="17" spans="2:10" ht="16.5" customHeight="1" x14ac:dyDescent="0.2">
      <c r="B17" s="434" t="s">
        <v>22</v>
      </c>
      <c r="C17" s="434">
        <f>SUM(C12:C16)</f>
        <v>10</v>
      </c>
      <c r="D17" s="434">
        <f t="shared" ref="D17:J17" si="0">SUM(D12:D16)</f>
        <v>115624</v>
      </c>
      <c r="E17" s="434">
        <f t="shared" si="0"/>
        <v>3562</v>
      </c>
      <c r="F17" s="434">
        <f>SUM(F12:F16)</f>
        <v>38627</v>
      </c>
      <c r="G17" s="434">
        <f t="shared" si="0"/>
        <v>48834</v>
      </c>
      <c r="H17" s="434">
        <f t="shared" si="0"/>
        <v>13</v>
      </c>
      <c r="I17" s="434">
        <f>SUM(I12:I16)</f>
        <v>10</v>
      </c>
      <c r="J17" s="434">
        <f t="shared" si="0"/>
        <v>10</v>
      </c>
    </row>
    <row r="18" spans="2:10" x14ac:dyDescent="0.2">
      <c r="B18" s="428" t="s">
        <v>152</v>
      </c>
      <c r="C18" s="423"/>
      <c r="D18" s="423"/>
      <c r="E18" s="423"/>
      <c r="F18" s="423"/>
      <c r="G18" s="423"/>
      <c r="H18" s="423"/>
      <c r="I18" s="423"/>
      <c r="J18" s="431"/>
    </row>
    <row r="19" spans="2:10" x14ac:dyDescent="0.2">
      <c r="B19" s="430" t="s">
        <v>91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10" x14ac:dyDescent="0.2">
      <c r="B20" s="430" t="s">
        <v>182</v>
      </c>
      <c r="C20" s="423">
        <v>3</v>
      </c>
      <c r="D20" s="423">
        <v>31939</v>
      </c>
      <c r="E20" s="423">
        <v>1077</v>
      </c>
      <c r="F20" s="423">
        <v>7698</v>
      </c>
      <c r="G20" s="423">
        <v>21115</v>
      </c>
      <c r="H20" s="423">
        <v>5</v>
      </c>
      <c r="I20" s="423">
        <v>3</v>
      </c>
      <c r="J20" s="431">
        <v>3</v>
      </c>
    </row>
    <row r="21" spans="2:10" x14ac:dyDescent="0.2">
      <c r="B21" s="430" t="s">
        <v>183</v>
      </c>
      <c r="C21" s="423">
        <v>1</v>
      </c>
      <c r="D21" s="423">
        <v>11488</v>
      </c>
      <c r="E21" s="423">
        <v>1230</v>
      </c>
      <c r="F21" s="423">
        <v>3000</v>
      </c>
      <c r="G21" s="423">
        <v>15500</v>
      </c>
      <c r="H21" s="423">
        <v>3</v>
      </c>
      <c r="I21" s="423">
        <v>1</v>
      </c>
      <c r="J21" s="431">
        <v>1</v>
      </c>
    </row>
    <row r="22" spans="2:10" x14ac:dyDescent="0.2">
      <c r="B22" s="430" t="s">
        <v>92</v>
      </c>
      <c r="C22" s="423">
        <v>17</v>
      </c>
      <c r="D22" s="423">
        <v>176981</v>
      </c>
      <c r="E22" s="423">
        <v>9407</v>
      </c>
      <c r="F22" s="423">
        <v>65814</v>
      </c>
      <c r="G22" s="423">
        <v>62300</v>
      </c>
      <c r="H22" s="423">
        <v>19</v>
      </c>
      <c r="I22" s="423">
        <v>17</v>
      </c>
      <c r="J22" s="431">
        <v>17</v>
      </c>
    </row>
    <row r="23" spans="2:10" x14ac:dyDescent="0.2">
      <c r="B23" s="430" t="s">
        <v>184</v>
      </c>
      <c r="C23" s="423">
        <v>1</v>
      </c>
      <c r="D23" s="423">
        <v>16644</v>
      </c>
      <c r="E23" s="423">
        <v>1392</v>
      </c>
      <c r="F23" s="423">
        <v>10515</v>
      </c>
      <c r="G23" s="423">
        <v>16368</v>
      </c>
      <c r="H23" s="423">
        <v>2</v>
      </c>
      <c r="I23" s="423">
        <v>1</v>
      </c>
      <c r="J23" s="431">
        <v>1</v>
      </c>
    </row>
    <row r="24" spans="2:10" x14ac:dyDescent="0.2">
      <c r="B24" s="430" t="s">
        <v>185</v>
      </c>
      <c r="C24" s="423">
        <v>3</v>
      </c>
      <c r="D24" s="423">
        <v>19931</v>
      </c>
      <c r="E24" s="423">
        <v>2435</v>
      </c>
      <c r="F24" s="423">
        <v>15968</v>
      </c>
      <c r="G24" s="423">
        <v>21978</v>
      </c>
      <c r="H24" s="423">
        <v>5</v>
      </c>
      <c r="I24" s="423">
        <v>3</v>
      </c>
      <c r="J24" s="431">
        <v>3</v>
      </c>
    </row>
    <row r="25" spans="2:10" x14ac:dyDescent="0.2">
      <c r="B25" s="430" t="s">
        <v>186</v>
      </c>
      <c r="C25" s="423">
        <v>1</v>
      </c>
      <c r="D25" s="423">
        <v>8342</v>
      </c>
      <c r="E25" s="423">
        <v>793</v>
      </c>
      <c r="F25" s="423">
        <v>5124</v>
      </c>
      <c r="G25" s="423">
        <v>3845</v>
      </c>
      <c r="H25" s="423">
        <v>2</v>
      </c>
      <c r="I25" s="423">
        <v>1</v>
      </c>
      <c r="J25" s="431">
        <v>1</v>
      </c>
    </row>
    <row r="26" spans="2:10" x14ac:dyDescent="0.2">
      <c r="B26" s="430" t="s">
        <v>187</v>
      </c>
      <c r="C26" s="423">
        <v>2</v>
      </c>
      <c r="D26" s="423">
        <v>22806</v>
      </c>
      <c r="E26" s="423">
        <v>1149</v>
      </c>
      <c r="F26" s="423">
        <v>7205</v>
      </c>
      <c r="G26" s="423">
        <v>11041</v>
      </c>
      <c r="H26" s="423">
        <v>2</v>
      </c>
      <c r="I26" s="423">
        <v>2</v>
      </c>
      <c r="J26" s="431">
        <v>2</v>
      </c>
    </row>
    <row r="27" spans="2:10" ht="17.25" customHeight="1" x14ac:dyDescent="0.2">
      <c r="B27" s="434" t="s">
        <v>22</v>
      </c>
      <c r="C27" s="434">
        <f>SUM(C19:C26)</f>
        <v>28</v>
      </c>
      <c r="D27" s="434">
        <f t="shared" ref="D27:J27" si="1">SUM(D19:D26)</f>
        <v>288131</v>
      </c>
      <c r="E27" s="434">
        <f t="shared" si="1"/>
        <v>17483</v>
      </c>
      <c r="F27" s="434">
        <f>SUM(F19:F26)</f>
        <v>115324</v>
      </c>
      <c r="G27" s="434">
        <f t="shared" si="1"/>
        <v>152147</v>
      </c>
      <c r="H27" s="434">
        <f t="shared" si="1"/>
        <v>38</v>
      </c>
      <c r="I27" s="434">
        <f t="shared" si="1"/>
        <v>28</v>
      </c>
      <c r="J27" s="434">
        <f t="shared" si="1"/>
        <v>28</v>
      </c>
    </row>
    <row r="28" spans="2:10" x14ac:dyDescent="0.2">
      <c r="B28" s="428" t="s">
        <v>153</v>
      </c>
      <c r="C28" s="423"/>
      <c r="D28" s="423"/>
      <c r="E28" s="423"/>
      <c r="F28" s="423"/>
      <c r="G28" s="423"/>
      <c r="H28" s="423"/>
      <c r="I28" s="423"/>
      <c r="J28" s="431"/>
    </row>
    <row r="29" spans="2:10" x14ac:dyDescent="0.2">
      <c r="B29" s="430" t="s">
        <v>94</v>
      </c>
      <c r="C29" s="423">
        <v>17</v>
      </c>
      <c r="D29" s="423">
        <v>172519</v>
      </c>
      <c r="E29" s="423">
        <v>9999</v>
      </c>
      <c r="F29" s="423">
        <v>113290</v>
      </c>
      <c r="G29" s="423">
        <v>91225</v>
      </c>
      <c r="H29" s="423">
        <v>21</v>
      </c>
      <c r="I29" s="423">
        <v>16</v>
      </c>
      <c r="J29" s="431">
        <v>16</v>
      </c>
    </row>
    <row r="30" spans="2:10" x14ac:dyDescent="0.2">
      <c r="B30" s="430" t="s">
        <v>188</v>
      </c>
      <c r="C30" s="423">
        <v>2</v>
      </c>
      <c r="D30" s="423">
        <v>19324</v>
      </c>
      <c r="E30" s="423">
        <v>1177</v>
      </c>
      <c r="F30" s="423">
        <v>7692</v>
      </c>
      <c r="G30" s="423">
        <v>13102</v>
      </c>
      <c r="H30" s="423">
        <v>4</v>
      </c>
      <c r="I30" s="423">
        <v>2</v>
      </c>
      <c r="J30" s="431">
        <v>2</v>
      </c>
    </row>
    <row r="31" spans="2:10" x14ac:dyDescent="0.2">
      <c r="B31" s="430" t="s">
        <v>189</v>
      </c>
      <c r="C31" s="423">
        <v>2</v>
      </c>
      <c r="D31" s="423">
        <v>13872</v>
      </c>
      <c r="E31" s="161">
        <v>1180</v>
      </c>
      <c r="F31" s="161">
        <v>4018</v>
      </c>
      <c r="G31" s="161">
        <v>22051</v>
      </c>
      <c r="H31" s="423">
        <v>2</v>
      </c>
      <c r="I31" s="423">
        <v>2</v>
      </c>
      <c r="J31" s="431">
        <v>2</v>
      </c>
    </row>
    <row r="32" spans="2:10" x14ac:dyDescent="0.2">
      <c r="B32" s="430" t="s">
        <v>95</v>
      </c>
      <c r="C32" s="423">
        <v>0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31">
        <v>0</v>
      </c>
    </row>
    <row r="33" spans="2:10" x14ac:dyDescent="0.2">
      <c r="B33" s="430" t="s">
        <v>96</v>
      </c>
      <c r="C33" s="423">
        <v>1</v>
      </c>
      <c r="D33" s="423">
        <v>31139</v>
      </c>
      <c r="E33" s="423">
        <v>725</v>
      </c>
      <c r="F33" s="423">
        <v>12000</v>
      </c>
      <c r="G33" s="423">
        <v>15000</v>
      </c>
      <c r="H33" s="423">
        <v>2</v>
      </c>
      <c r="I33" s="423">
        <v>1</v>
      </c>
      <c r="J33" s="431">
        <v>1</v>
      </c>
    </row>
    <row r="34" spans="2:10" x14ac:dyDescent="0.2">
      <c r="B34" s="430" t="s">
        <v>190</v>
      </c>
      <c r="C34" s="423">
        <v>1</v>
      </c>
      <c r="D34" s="423">
        <v>13419</v>
      </c>
      <c r="E34" s="423">
        <v>317</v>
      </c>
      <c r="F34" s="423">
        <v>7232</v>
      </c>
      <c r="G34" s="423">
        <v>5420</v>
      </c>
      <c r="H34" s="423">
        <v>2</v>
      </c>
      <c r="I34" s="423">
        <v>1</v>
      </c>
      <c r="J34" s="431">
        <v>1</v>
      </c>
    </row>
    <row r="35" spans="2:10" x14ac:dyDescent="0.2">
      <c r="B35" s="430" t="s">
        <v>191</v>
      </c>
      <c r="C35" s="423">
        <v>1</v>
      </c>
      <c r="D35" s="423">
        <v>6569</v>
      </c>
      <c r="E35" s="423">
        <v>594</v>
      </c>
      <c r="F35" s="423">
        <v>10096</v>
      </c>
      <c r="G35" s="423">
        <v>10441</v>
      </c>
      <c r="H35" s="423">
        <v>2</v>
      </c>
      <c r="I35" s="423">
        <v>0</v>
      </c>
      <c r="J35" s="431">
        <v>0</v>
      </c>
    </row>
    <row r="36" spans="2:10" ht="14.25" customHeight="1" x14ac:dyDescent="0.2">
      <c r="B36" s="434" t="s">
        <v>22</v>
      </c>
      <c r="C36" s="434">
        <f>SUM(C29:C35)</f>
        <v>24</v>
      </c>
      <c r="D36" s="434">
        <f t="shared" ref="D36:J36" si="2">SUM(D29:D35)</f>
        <v>256842</v>
      </c>
      <c r="E36" s="434">
        <f t="shared" si="2"/>
        <v>13992</v>
      </c>
      <c r="F36" s="434">
        <f>SUM(F29:F35)</f>
        <v>154328</v>
      </c>
      <c r="G36" s="434">
        <f t="shared" si="2"/>
        <v>157239</v>
      </c>
      <c r="H36" s="434">
        <f t="shared" si="2"/>
        <v>33</v>
      </c>
      <c r="I36" s="434">
        <f t="shared" si="2"/>
        <v>22</v>
      </c>
      <c r="J36" s="434">
        <f t="shared" si="2"/>
        <v>22</v>
      </c>
    </row>
    <row r="37" spans="2:10" x14ac:dyDescent="0.2">
      <c r="B37" s="428" t="s">
        <v>97</v>
      </c>
      <c r="C37" s="423"/>
      <c r="D37" s="423"/>
      <c r="E37" s="423"/>
      <c r="F37" s="423"/>
      <c r="G37" s="423"/>
      <c r="H37" s="423"/>
      <c r="I37" s="423"/>
      <c r="J37" s="431"/>
    </row>
    <row r="38" spans="2:10" x14ac:dyDescent="0.2">
      <c r="B38" s="430" t="s">
        <v>98</v>
      </c>
      <c r="C38" s="423">
        <v>0</v>
      </c>
      <c r="D38" s="423">
        <v>0</v>
      </c>
      <c r="E38" s="423">
        <v>0</v>
      </c>
      <c r="F38" s="423">
        <v>0</v>
      </c>
      <c r="G38" s="423">
        <v>0</v>
      </c>
      <c r="H38" s="423">
        <v>0</v>
      </c>
      <c r="I38" s="423">
        <v>0</v>
      </c>
      <c r="J38" s="431">
        <v>0</v>
      </c>
    </row>
    <row r="39" spans="2:10" x14ac:dyDescent="0.2">
      <c r="B39" s="430" t="s">
        <v>99</v>
      </c>
      <c r="C39" s="423">
        <v>0</v>
      </c>
      <c r="D39" s="423">
        <v>0</v>
      </c>
      <c r="E39" s="423">
        <v>0</v>
      </c>
      <c r="F39" s="423">
        <v>0</v>
      </c>
      <c r="G39" s="423">
        <v>0</v>
      </c>
      <c r="H39" s="423">
        <v>0</v>
      </c>
      <c r="I39" s="423">
        <v>0</v>
      </c>
      <c r="J39" s="431">
        <v>0</v>
      </c>
    </row>
    <row r="40" spans="2:10" x14ac:dyDescent="0.2">
      <c r="B40" s="430" t="s">
        <v>100</v>
      </c>
      <c r="C40" s="423">
        <v>6</v>
      </c>
      <c r="D40" s="423">
        <v>49986</v>
      </c>
      <c r="E40" s="423">
        <v>1798</v>
      </c>
      <c r="F40" s="423">
        <v>12988</v>
      </c>
      <c r="G40" s="423">
        <v>22467</v>
      </c>
      <c r="H40" s="423">
        <v>7</v>
      </c>
      <c r="I40" s="423">
        <v>6</v>
      </c>
      <c r="J40" s="431">
        <v>6</v>
      </c>
    </row>
    <row r="41" spans="2:10" x14ac:dyDescent="0.2">
      <c r="B41" s="430" t="s">
        <v>192</v>
      </c>
      <c r="C41" s="423">
        <v>0</v>
      </c>
      <c r="D41" s="423">
        <v>0</v>
      </c>
      <c r="E41" s="423">
        <v>0</v>
      </c>
      <c r="F41" s="423">
        <v>0</v>
      </c>
      <c r="G41" s="423">
        <v>0</v>
      </c>
      <c r="H41" s="423">
        <v>0</v>
      </c>
      <c r="I41" s="423">
        <v>0</v>
      </c>
      <c r="J41" s="431">
        <v>0</v>
      </c>
    </row>
    <row r="42" spans="2:10" x14ac:dyDescent="0.2">
      <c r="B42" s="430" t="s">
        <v>193</v>
      </c>
      <c r="C42" s="423">
        <v>2</v>
      </c>
      <c r="D42" s="423">
        <v>16961</v>
      </c>
      <c r="E42" s="423">
        <v>463</v>
      </c>
      <c r="F42" s="423">
        <v>5207</v>
      </c>
      <c r="G42" s="423">
        <v>8963</v>
      </c>
      <c r="H42" s="423">
        <v>3</v>
      </c>
      <c r="I42" s="423">
        <v>2</v>
      </c>
      <c r="J42" s="431">
        <v>2</v>
      </c>
    </row>
    <row r="43" spans="2:10" ht="16.5" customHeight="1" x14ac:dyDescent="0.2">
      <c r="B43" s="434" t="s">
        <v>22</v>
      </c>
      <c r="C43" s="434">
        <f>SUM(C38:C42)</f>
        <v>8</v>
      </c>
      <c r="D43" s="434">
        <f t="shared" ref="D43:J43" si="3">SUM(D38:D42)</f>
        <v>66947</v>
      </c>
      <c r="E43" s="434">
        <f t="shared" si="3"/>
        <v>2261</v>
      </c>
      <c r="F43" s="434">
        <f>SUM(F38:F42)</f>
        <v>18195</v>
      </c>
      <c r="G43" s="434">
        <f t="shared" si="3"/>
        <v>31430</v>
      </c>
      <c r="H43" s="434">
        <f t="shared" si="3"/>
        <v>10</v>
      </c>
      <c r="I43" s="434">
        <f t="shared" si="3"/>
        <v>8</v>
      </c>
      <c r="J43" s="434">
        <f t="shared" si="3"/>
        <v>8</v>
      </c>
    </row>
    <row r="44" spans="2:10" x14ac:dyDescent="0.2">
      <c r="B44" s="428" t="s">
        <v>154</v>
      </c>
      <c r="C44" s="423"/>
      <c r="D44" s="423"/>
      <c r="E44" s="423"/>
      <c r="F44" s="423"/>
      <c r="G44" s="423"/>
      <c r="H44" s="423"/>
      <c r="I44" s="423"/>
      <c r="J44" s="431"/>
    </row>
    <row r="45" spans="2:10" x14ac:dyDescent="0.2">
      <c r="B45" s="430" t="s">
        <v>194</v>
      </c>
      <c r="C45" s="423">
        <v>0</v>
      </c>
      <c r="D45" s="423">
        <v>0</v>
      </c>
      <c r="E45" s="423">
        <v>0</v>
      </c>
      <c r="F45" s="423">
        <v>0</v>
      </c>
      <c r="G45" s="423">
        <v>0</v>
      </c>
      <c r="H45" s="423">
        <v>0</v>
      </c>
      <c r="I45" s="423">
        <v>0</v>
      </c>
      <c r="J45" s="431">
        <v>0</v>
      </c>
    </row>
    <row r="46" spans="2:10" x14ac:dyDescent="0.2">
      <c r="B46" s="430" t="s">
        <v>195</v>
      </c>
      <c r="C46" s="423">
        <v>1</v>
      </c>
      <c r="D46" s="423">
        <v>8669</v>
      </c>
      <c r="E46" s="423">
        <v>643</v>
      </c>
      <c r="F46" s="423">
        <v>2283</v>
      </c>
      <c r="G46" s="423">
        <v>1946</v>
      </c>
      <c r="H46" s="423">
        <v>2</v>
      </c>
      <c r="I46" s="423">
        <v>1</v>
      </c>
      <c r="J46" s="431">
        <v>1</v>
      </c>
    </row>
    <row r="47" spans="2:10" x14ac:dyDescent="0.2">
      <c r="B47" s="430" t="s">
        <v>102</v>
      </c>
      <c r="C47" s="423">
        <v>9</v>
      </c>
      <c r="D47" s="423">
        <v>85883</v>
      </c>
      <c r="E47" s="423">
        <v>5428</v>
      </c>
      <c r="F47" s="423">
        <v>59212</v>
      </c>
      <c r="G47" s="423">
        <v>97297</v>
      </c>
      <c r="H47" s="423">
        <v>15</v>
      </c>
      <c r="I47" s="423">
        <v>9</v>
      </c>
      <c r="J47" s="431">
        <v>9</v>
      </c>
    </row>
    <row r="48" spans="2:10" x14ac:dyDescent="0.2">
      <c r="B48" s="430" t="s">
        <v>196</v>
      </c>
      <c r="C48" s="423">
        <v>1</v>
      </c>
      <c r="D48" s="423">
        <v>3588</v>
      </c>
      <c r="E48" s="423">
        <v>128</v>
      </c>
      <c r="F48" s="423">
        <v>2591</v>
      </c>
      <c r="G48" s="423">
        <v>3633</v>
      </c>
      <c r="H48" s="423">
        <v>1</v>
      </c>
      <c r="I48" s="423">
        <v>1</v>
      </c>
      <c r="J48" s="431">
        <v>1</v>
      </c>
    </row>
    <row r="49" spans="2:10" x14ac:dyDescent="0.2">
      <c r="B49" s="430" t="s">
        <v>197</v>
      </c>
      <c r="C49" s="423">
        <v>2</v>
      </c>
      <c r="D49" s="423">
        <v>16762</v>
      </c>
      <c r="E49" s="423">
        <v>489</v>
      </c>
      <c r="F49" s="423">
        <v>1076</v>
      </c>
      <c r="G49" s="423">
        <v>4869</v>
      </c>
      <c r="H49" s="423">
        <v>3</v>
      </c>
      <c r="I49" s="423">
        <v>2</v>
      </c>
      <c r="J49" s="431">
        <v>2</v>
      </c>
    </row>
    <row r="50" spans="2:10" x14ac:dyDescent="0.2">
      <c r="B50" s="430" t="s">
        <v>198</v>
      </c>
      <c r="C50" s="423">
        <v>2</v>
      </c>
      <c r="D50" s="423">
        <v>21708</v>
      </c>
      <c r="E50" s="423">
        <v>823</v>
      </c>
      <c r="F50" s="423">
        <v>9330</v>
      </c>
      <c r="G50" s="423">
        <v>9701</v>
      </c>
      <c r="H50" s="423">
        <v>4</v>
      </c>
      <c r="I50" s="423">
        <v>2</v>
      </c>
      <c r="J50" s="431">
        <v>2</v>
      </c>
    </row>
    <row r="51" spans="2:10" ht="16.5" customHeight="1" x14ac:dyDescent="0.2">
      <c r="B51" s="434" t="s">
        <v>22</v>
      </c>
      <c r="C51" s="434">
        <f>SUM(C45:C50)</f>
        <v>15</v>
      </c>
      <c r="D51" s="434">
        <f t="shared" ref="D51:J51" si="4">SUM(D45:D50)</f>
        <v>136610</v>
      </c>
      <c r="E51" s="434">
        <f t="shared" si="4"/>
        <v>7511</v>
      </c>
      <c r="F51" s="434">
        <f t="shared" si="4"/>
        <v>74492</v>
      </c>
      <c r="G51" s="434">
        <f t="shared" si="4"/>
        <v>117446</v>
      </c>
      <c r="H51" s="434">
        <f t="shared" si="4"/>
        <v>25</v>
      </c>
      <c r="I51" s="434">
        <f t="shared" si="4"/>
        <v>15</v>
      </c>
      <c r="J51" s="434">
        <f t="shared" si="4"/>
        <v>15</v>
      </c>
    </row>
    <row r="54" spans="2:10" x14ac:dyDescent="0.2">
      <c r="B54" s="423"/>
      <c r="C54" s="423"/>
      <c r="D54" s="423"/>
      <c r="E54" s="423"/>
      <c r="F54" s="423"/>
      <c r="G54" s="423"/>
      <c r="H54" s="423"/>
      <c r="I54" s="423"/>
      <c r="J54" s="423"/>
    </row>
    <row r="55" spans="2:10" x14ac:dyDescent="0.2">
      <c r="B55" s="423"/>
      <c r="C55" s="423"/>
      <c r="D55" s="423"/>
      <c r="E55" s="423"/>
      <c r="F55" s="423"/>
      <c r="G55" s="423"/>
      <c r="H55" s="423"/>
      <c r="I55" s="423"/>
      <c r="J55" s="423"/>
    </row>
    <row r="56" spans="2:10" x14ac:dyDescent="0.2">
      <c r="B56" s="423"/>
      <c r="C56" s="423"/>
      <c r="D56" s="423"/>
      <c r="E56" s="423"/>
      <c r="F56" s="423"/>
      <c r="G56" s="423"/>
      <c r="H56" s="423"/>
      <c r="I56" s="423"/>
      <c r="J56" s="423"/>
    </row>
    <row r="57" spans="2:10" x14ac:dyDescent="0.2">
      <c r="B57" s="423"/>
      <c r="C57" s="423"/>
      <c r="D57" s="423"/>
      <c r="E57" s="423"/>
      <c r="F57" s="423"/>
      <c r="G57" s="423"/>
      <c r="H57" s="423"/>
      <c r="I57" s="423"/>
      <c r="J57" s="423"/>
    </row>
    <row r="58" spans="2:10" x14ac:dyDescent="0.2">
      <c r="B58" s="423"/>
      <c r="C58" s="42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2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23"/>
      <c r="D60" s="423"/>
      <c r="E60" s="423"/>
      <c r="F60" s="423"/>
      <c r="G60" s="423"/>
      <c r="H60" s="423"/>
      <c r="I60" s="423"/>
      <c r="J60" s="423"/>
    </row>
    <row r="61" spans="2:10" x14ac:dyDescent="0.2">
      <c r="B61" s="443"/>
      <c r="C61" s="423"/>
      <c r="D61" s="423"/>
      <c r="E61" s="423"/>
      <c r="F61" s="423"/>
      <c r="G61" s="423"/>
      <c r="H61" s="423"/>
      <c r="I61" s="423"/>
      <c r="J61" s="423"/>
    </row>
    <row r="62" spans="2:10" s="175" customFormat="1" ht="15.75" x14ac:dyDescent="0.25">
      <c r="B62" s="1006"/>
      <c r="C62" s="1006"/>
      <c r="D62" s="1006"/>
      <c r="E62" s="1006"/>
      <c r="F62" s="1006"/>
      <c r="G62" s="1006"/>
      <c r="H62" s="1006"/>
      <c r="I62" s="1006"/>
      <c r="J62" s="1006"/>
    </row>
    <row r="63" spans="2:10" s="175" customFormat="1" ht="15.75" x14ac:dyDescent="0.25">
      <c r="B63" s="444"/>
      <c r="C63" s="176"/>
      <c r="D63" s="176"/>
      <c r="E63" s="176"/>
      <c r="F63" s="176"/>
      <c r="G63" s="176"/>
      <c r="H63" s="176"/>
      <c r="I63" s="1006"/>
      <c r="J63" s="1006"/>
    </row>
    <row r="64" spans="2:10" s="175" customFormat="1" ht="15.75" x14ac:dyDescent="0.25">
      <c r="B64" s="444"/>
      <c r="C64" s="176"/>
      <c r="D64" s="176"/>
      <c r="E64" s="176"/>
      <c r="F64" s="176"/>
      <c r="G64" s="176"/>
      <c r="H64" s="176"/>
      <c r="I64" s="557"/>
      <c r="J64" s="557"/>
    </row>
    <row r="65" spans="2:12" s="175" customFormat="1" ht="15.75" x14ac:dyDescent="0.25">
      <c r="B65" s="444"/>
      <c r="C65" s="176"/>
      <c r="D65" s="176"/>
      <c r="E65" s="176"/>
      <c r="F65" s="176"/>
      <c r="G65" s="176"/>
      <c r="H65" s="176"/>
      <c r="I65" s="557"/>
      <c r="J65" s="557"/>
    </row>
    <row r="66" spans="2:12" s="175" customFormat="1" ht="15.75" x14ac:dyDescent="0.25">
      <c r="B66" s="444"/>
      <c r="C66" s="176"/>
      <c r="D66" s="176"/>
      <c r="E66" s="176"/>
      <c r="F66" s="176"/>
      <c r="G66" s="176"/>
      <c r="H66" s="176"/>
      <c r="I66" s="557"/>
      <c r="J66" s="557"/>
    </row>
    <row r="67" spans="2:12" s="175" customFormat="1" ht="15.75" x14ac:dyDescent="0.25">
      <c r="B67" s="1008"/>
      <c r="C67" s="1008"/>
      <c r="D67" s="1008"/>
      <c r="E67" s="1008"/>
      <c r="F67" s="1008"/>
      <c r="G67" s="1008"/>
      <c r="H67" s="1008"/>
      <c r="I67" s="1008"/>
      <c r="J67" s="1008"/>
    </row>
    <row r="68" spans="2:12" s="425" customFormat="1" ht="11.25" x14ac:dyDescent="0.2">
      <c r="B68" s="968" t="s">
        <v>84</v>
      </c>
      <c r="C68" s="968" t="s">
        <v>85</v>
      </c>
      <c r="D68" s="968" t="s">
        <v>67</v>
      </c>
      <c r="E68" s="968" t="s">
        <v>68</v>
      </c>
      <c r="F68" s="968" t="s">
        <v>69</v>
      </c>
      <c r="G68" s="968" t="s">
        <v>70</v>
      </c>
      <c r="H68" s="968" t="s">
        <v>226</v>
      </c>
      <c r="I68" s="1001" t="s">
        <v>223</v>
      </c>
      <c r="J68" s="1002"/>
      <c r="K68" s="424"/>
      <c r="L68" s="424"/>
    </row>
    <row r="69" spans="2:12" s="425" customFormat="1" ht="11.25" x14ac:dyDescent="0.2">
      <c r="B69" s="969"/>
      <c r="C69" s="969"/>
      <c r="D69" s="969"/>
      <c r="E69" s="969"/>
      <c r="F69" s="969"/>
      <c r="G69" s="969"/>
      <c r="H69" s="969"/>
      <c r="I69" s="1003"/>
      <c r="J69" s="1004"/>
      <c r="K69" s="424"/>
      <c r="L69" s="424"/>
    </row>
    <row r="70" spans="2:12" s="425" customFormat="1" ht="11.25" x14ac:dyDescent="0.2">
      <c r="B70" s="970"/>
      <c r="C70" s="970"/>
      <c r="D70" s="970"/>
      <c r="E70" s="970"/>
      <c r="F70" s="970"/>
      <c r="G70" s="970"/>
      <c r="H70" s="970"/>
      <c r="I70" s="426" t="s">
        <v>73</v>
      </c>
      <c r="J70" s="427" t="s">
        <v>86</v>
      </c>
      <c r="K70" s="424"/>
      <c r="L70" s="424"/>
    </row>
    <row r="71" spans="2:12" x14ac:dyDescent="0.2">
      <c r="B71" s="435">
        <v>1</v>
      </c>
      <c r="C71" s="436">
        <v>2</v>
      </c>
      <c r="D71" s="436">
        <v>3</v>
      </c>
      <c r="E71" s="436">
        <v>4</v>
      </c>
      <c r="F71" s="436">
        <v>5</v>
      </c>
      <c r="G71" s="436">
        <v>6</v>
      </c>
      <c r="H71" s="436">
        <v>7</v>
      </c>
      <c r="I71" s="436">
        <v>8</v>
      </c>
      <c r="J71" s="436">
        <v>9</v>
      </c>
      <c r="K71" s="437"/>
      <c r="L71" s="437"/>
    </row>
    <row r="72" spans="2:12" x14ac:dyDescent="0.2">
      <c r="B72" s="428" t="s">
        <v>155</v>
      </c>
      <c r="C72" s="423"/>
      <c r="D72" s="423"/>
      <c r="E72" s="423"/>
      <c r="F72" s="423"/>
      <c r="G72" s="423"/>
      <c r="H72" s="423"/>
      <c r="I72" s="423"/>
      <c r="J72" s="429"/>
      <c r="K72" s="437"/>
      <c r="L72" s="437"/>
    </row>
    <row r="73" spans="2:12" x14ac:dyDescent="0.2">
      <c r="B73" s="430" t="s">
        <v>199</v>
      </c>
      <c r="C73" s="423">
        <v>1</v>
      </c>
      <c r="D73" s="423">
        <v>12728</v>
      </c>
      <c r="E73" s="423">
        <v>581</v>
      </c>
      <c r="F73" s="423">
        <v>1553</v>
      </c>
      <c r="G73" s="423">
        <v>5507</v>
      </c>
      <c r="H73" s="423">
        <v>2</v>
      </c>
      <c r="I73" s="423">
        <v>1</v>
      </c>
      <c r="J73" s="431">
        <v>1</v>
      </c>
      <c r="K73" s="437"/>
      <c r="L73" s="437"/>
    </row>
    <row r="74" spans="2:12" x14ac:dyDescent="0.2">
      <c r="B74" s="430" t="s">
        <v>200</v>
      </c>
      <c r="C74" s="423">
        <v>1</v>
      </c>
      <c r="D74" s="423">
        <v>11180</v>
      </c>
      <c r="E74" s="423">
        <v>350</v>
      </c>
      <c r="F74" s="423">
        <v>1082</v>
      </c>
      <c r="G74" s="423">
        <v>339</v>
      </c>
      <c r="H74" s="423">
        <v>1</v>
      </c>
      <c r="I74" s="423">
        <v>1</v>
      </c>
      <c r="J74" s="431">
        <v>1</v>
      </c>
      <c r="K74" s="437"/>
      <c r="L74" s="437"/>
    </row>
    <row r="75" spans="2:12" x14ac:dyDescent="0.2">
      <c r="B75" s="430" t="s">
        <v>201</v>
      </c>
      <c r="C75" s="423">
        <v>1</v>
      </c>
      <c r="D75" s="423">
        <v>10182</v>
      </c>
      <c r="E75" s="423">
        <v>223</v>
      </c>
      <c r="F75" s="423">
        <v>1742</v>
      </c>
      <c r="G75" s="423">
        <v>1802</v>
      </c>
      <c r="H75" s="423">
        <v>1</v>
      </c>
      <c r="I75" s="423">
        <v>1</v>
      </c>
      <c r="J75" s="431">
        <v>1</v>
      </c>
      <c r="K75" s="437"/>
      <c r="L75" s="437"/>
    </row>
    <row r="76" spans="2:12" x14ac:dyDescent="0.2">
      <c r="B76" s="430" t="s">
        <v>202</v>
      </c>
      <c r="C76" s="423">
        <v>1</v>
      </c>
      <c r="D76" s="423">
        <v>15079</v>
      </c>
      <c r="E76" s="423">
        <v>433</v>
      </c>
      <c r="F76" s="423">
        <v>5401</v>
      </c>
      <c r="G76" s="423">
        <v>1764</v>
      </c>
      <c r="H76" s="423">
        <v>2</v>
      </c>
      <c r="I76" s="423">
        <v>1</v>
      </c>
      <c r="J76" s="431">
        <v>1</v>
      </c>
      <c r="K76" s="437"/>
      <c r="L76" s="437"/>
    </row>
    <row r="77" spans="2:12" x14ac:dyDescent="0.2">
      <c r="B77" s="430" t="s">
        <v>203</v>
      </c>
      <c r="C77" s="423">
        <v>2</v>
      </c>
      <c r="D77" s="423">
        <v>14775</v>
      </c>
      <c r="E77" s="423">
        <v>1061</v>
      </c>
      <c r="F77" s="423">
        <v>9469</v>
      </c>
      <c r="G77" s="423">
        <v>18748</v>
      </c>
      <c r="H77" s="423">
        <v>2</v>
      </c>
      <c r="I77" s="423">
        <v>2</v>
      </c>
      <c r="J77" s="431">
        <v>2</v>
      </c>
      <c r="K77" s="437"/>
      <c r="L77" s="437"/>
    </row>
    <row r="78" spans="2:12" x14ac:dyDescent="0.2">
      <c r="B78" s="430" t="s">
        <v>104</v>
      </c>
      <c r="C78" s="423">
        <v>14</v>
      </c>
      <c r="D78" s="423">
        <v>126698</v>
      </c>
      <c r="E78" s="423">
        <v>7547</v>
      </c>
      <c r="F78" s="423">
        <v>70676</v>
      </c>
      <c r="G78" s="423">
        <v>74495</v>
      </c>
      <c r="H78" s="423">
        <v>16</v>
      </c>
      <c r="I78" s="423">
        <v>14</v>
      </c>
      <c r="J78" s="431">
        <v>14</v>
      </c>
      <c r="K78" s="437"/>
      <c r="L78" s="437"/>
    </row>
    <row r="79" spans="2:12" x14ac:dyDescent="0.2">
      <c r="B79" s="430" t="s">
        <v>204</v>
      </c>
      <c r="C79" s="423">
        <v>1</v>
      </c>
      <c r="D79" s="423">
        <v>11367</v>
      </c>
      <c r="E79" s="423">
        <v>394</v>
      </c>
      <c r="F79" s="423">
        <v>1160</v>
      </c>
      <c r="G79" s="423">
        <v>1047</v>
      </c>
      <c r="H79" s="423">
        <v>2</v>
      </c>
      <c r="I79" s="423">
        <v>1</v>
      </c>
      <c r="J79" s="433">
        <v>1</v>
      </c>
      <c r="K79" s="437"/>
      <c r="L79" s="437"/>
    </row>
    <row r="80" spans="2:12" ht="15" customHeight="1" x14ac:dyDescent="0.2">
      <c r="B80" s="434" t="s">
        <v>22</v>
      </c>
      <c r="C80" s="434">
        <f>SUM(C73:C79)</f>
        <v>21</v>
      </c>
      <c r="D80" s="434">
        <f t="shared" ref="D80:J80" si="5">SUM(D73:D79)</f>
        <v>202009</v>
      </c>
      <c r="E80" s="434">
        <f t="shared" si="5"/>
        <v>10589</v>
      </c>
      <c r="F80" s="434">
        <f t="shared" si="5"/>
        <v>91083</v>
      </c>
      <c r="G80" s="434">
        <f t="shared" si="5"/>
        <v>103702</v>
      </c>
      <c r="H80" s="434">
        <f t="shared" si="5"/>
        <v>26</v>
      </c>
      <c r="I80" s="434">
        <f t="shared" si="5"/>
        <v>21</v>
      </c>
      <c r="J80" s="434">
        <f t="shared" si="5"/>
        <v>21</v>
      </c>
      <c r="K80" s="437"/>
      <c r="L80" s="437"/>
    </row>
    <row r="81" spans="2:10" x14ac:dyDescent="0.2">
      <c r="B81" s="428" t="s">
        <v>156</v>
      </c>
      <c r="C81" s="423"/>
      <c r="D81" s="423"/>
      <c r="E81" s="423"/>
      <c r="F81" s="423"/>
      <c r="G81" s="423"/>
      <c r="H81" s="423"/>
      <c r="I81" s="423"/>
      <c r="J81" s="431"/>
    </row>
    <row r="82" spans="2:10" x14ac:dyDescent="0.2">
      <c r="B82" s="430" t="s">
        <v>205</v>
      </c>
      <c r="C82" s="423">
        <v>2</v>
      </c>
      <c r="D82" s="423">
        <v>23243</v>
      </c>
      <c r="E82" s="423">
        <v>1001</v>
      </c>
      <c r="F82" s="423">
        <v>5410</v>
      </c>
      <c r="G82" s="423">
        <v>5986</v>
      </c>
      <c r="H82" s="423">
        <v>4</v>
      </c>
      <c r="I82" s="423">
        <v>2</v>
      </c>
      <c r="J82" s="431">
        <v>2</v>
      </c>
    </row>
    <row r="83" spans="2:10" x14ac:dyDescent="0.2">
      <c r="B83" s="430" t="s">
        <v>106</v>
      </c>
      <c r="C83" s="423">
        <v>0</v>
      </c>
      <c r="D83" s="423">
        <v>0</v>
      </c>
      <c r="E83" s="423">
        <v>0</v>
      </c>
      <c r="F83" s="423">
        <v>0</v>
      </c>
      <c r="G83" s="423">
        <v>0</v>
      </c>
      <c r="H83" s="423">
        <v>0</v>
      </c>
      <c r="I83" s="423">
        <v>0</v>
      </c>
      <c r="J83" s="431">
        <v>0</v>
      </c>
    </row>
    <row r="84" spans="2:10" x14ac:dyDescent="0.2">
      <c r="B84" s="430" t="s">
        <v>206</v>
      </c>
      <c r="C84" s="423">
        <v>1</v>
      </c>
      <c r="D84" s="423">
        <v>16554</v>
      </c>
      <c r="E84" s="423">
        <v>698</v>
      </c>
      <c r="F84" s="423">
        <v>2035</v>
      </c>
      <c r="G84" s="423">
        <v>6511</v>
      </c>
      <c r="H84" s="423">
        <v>2</v>
      </c>
      <c r="I84" s="423">
        <v>1</v>
      </c>
      <c r="J84" s="431">
        <v>1</v>
      </c>
    </row>
    <row r="85" spans="2:10" x14ac:dyDescent="0.2">
      <c r="B85" s="430" t="s">
        <v>207</v>
      </c>
      <c r="C85" s="423">
        <v>3</v>
      </c>
      <c r="D85" s="453">
        <v>34136</v>
      </c>
      <c r="E85" s="423">
        <v>1567</v>
      </c>
      <c r="F85" s="423">
        <v>5818</v>
      </c>
      <c r="G85" s="423">
        <v>4398</v>
      </c>
      <c r="H85" s="423">
        <v>2</v>
      </c>
      <c r="I85" s="423">
        <v>3</v>
      </c>
      <c r="J85" s="431">
        <v>3</v>
      </c>
    </row>
    <row r="86" spans="2:10" ht="14.25" customHeight="1" x14ac:dyDescent="0.2">
      <c r="B86" s="434" t="s">
        <v>22</v>
      </c>
      <c r="C86" s="434">
        <f>SUM(C82:C85)</f>
        <v>6</v>
      </c>
      <c r="D86" s="434">
        <f t="shared" ref="D86:J86" si="6">SUM(D82:D85)</f>
        <v>73933</v>
      </c>
      <c r="E86" s="434">
        <f t="shared" si="6"/>
        <v>3266</v>
      </c>
      <c r="F86" s="434">
        <f t="shared" si="6"/>
        <v>13263</v>
      </c>
      <c r="G86" s="434">
        <f t="shared" si="6"/>
        <v>16895</v>
      </c>
      <c r="H86" s="434">
        <f t="shared" si="6"/>
        <v>8</v>
      </c>
      <c r="I86" s="434">
        <f t="shared" si="6"/>
        <v>6</v>
      </c>
      <c r="J86" s="434">
        <f t="shared" si="6"/>
        <v>6</v>
      </c>
    </row>
    <row r="87" spans="2:10" x14ac:dyDescent="0.2">
      <c r="B87" s="465" t="s">
        <v>157</v>
      </c>
      <c r="C87" s="256"/>
      <c r="D87" s="256"/>
      <c r="E87" s="256"/>
      <c r="F87" s="256"/>
      <c r="G87" s="256"/>
      <c r="H87" s="256"/>
      <c r="I87" s="256"/>
      <c r="J87" s="454"/>
    </row>
    <row r="88" spans="2:10" x14ac:dyDescent="0.2">
      <c r="B88" s="455" t="s">
        <v>208</v>
      </c>
      <c r="C88" s="256">
        <v>4</v>
      </c>
      <c r="D88" s="256">
        <v>44518</v>
      </c>
      <c r="E88" s="256">
        <v>2422</v>
      </c>
      <c r="F88" s="256">
        <v>45156</v>
      </c>
      <c r="G88" s="256">
        <v>35056</v>
      </c>
      <c r="H88" s="256">
        <v>9</v>
      </c>
      <c r="I88" s="256">
        <v>4</v>
      </c>
      <c r="J88" s="456">
        <v>4</v>
      </c>
    </row>
    <row r="89" spans="2:10" x14ac:dyDescent="0.2">
      <c r="B89" s="455" t="s">
        <v>209</v>
      </c>
      <c r="C89" s="256">
        <v>2</v>
      </c>
      <c r="D89" s="256">
        <v>18351</v>
      </c>
      <c r="E89" s="256">
        <v>660</v>
      </c>
      <c r="F89" s="256">
        <v>5863</v>
      </c>
      <c r="G89" s="256">
        <v>9399</v>
      </c>
      <c r="H89" s="256">
        <v>6</v>
      </c>
      <c r="I89" s="256">
        <v>2</v>
      </c>
      <c r="J89" s="456">
        <v>2</v>
      </c>
    </row>
    <row r="90" spans="2:10" x14ac:dyDescent="0.2">
      <c r="B90" s="455" t="s">
        <v>108</v>
      </c>
      <c r="C90" s="256">
        <v>0</v>
      </c>
      <c r="D90" s="256">
        <v>0</v>
      </c>
      <c r="E90" s="256">
        <v>0</v>
      </c>
      <c r="F90" s="256">
        <v>0</v>
      </c>
      <c r="G90" s="256">
        <v>0</v>
      </c>
      <c r="H90" s="256">
        <v>0</v>
      </c>
      <c r="I90" s="256">
        <v>0</v>
      </c>
      <c r="J90" s="456">
        <v>0</v>
      </c>
    </row>
    <row r="91" spans="2:10" x14ac:dyDescent="0.2">
      <c r="B91" s="457" t="s">
        <v>210</v>
      </c>
      <c r="C91" s="256">
        <v>4</v>
      </c>
      <c r="D91" s="256">
        <v>34452</v>
      </c>
      <c r="E91" s="256">
        <v>1796</v>
      </c>
      <c r="F91" s="256">
        <v>22467</v>
      </c>
      <c r="G91" s="256">
        <v>26019</v>
      </c>
      <c r="H91" s="256">
        <v>5</v>
      </c>
      <c r="I91" s="256">
        <v>4</v>
      </c>
      <c r="J91" s="458">
        <v>4</v>
      </c>
    </row>
    <row r="92" spans="2:10" ht="16.5" customHeight="1" x14ac:dyDescent="0.2">
      <c r="B92" s="434" t="s">
        <v>22</v>
      </c>
      <c r="C92" s="434">
        <f>SUM(C88:C91)</f>
        <v>10</v>
      </c>
      <c r="D92" s="434">
        <f t="shared" ref="D92:J92" si="7">SUM(D88:D91)</f>
        <v>97321</v>
      </c>
      <c r="E92" s="434">
        <f t="shared" si="7"/>
        <v>4878</v>
      </c>
      <c r="F92" s="434">
        <f t="shared" si="7"/>
        <v>73486</v>
      </c>
      <c r="G92" s="434">
        <f t="shared" si="7"/>
        <v>70474</v>
      </c>
      <c r="H92" s="434">
        <f t="shared" si="7"/>
        <v>20</v>
      </c>
      <c r="I92" s="434">
        <f t="shared" si="7"/>
        <v>10</v>
      </c>
      <c r="J92" s="434">
        <f t="shared" si="7"/>
        <v>10</v>
      </c>
    </row>
    <row r="93" spans="2:10" x14ac:dyDescent="0.2">
      <c r="B93" s="428" t="s">
        <v>158</v>
      </c>
      <c r="C93" s="423"/>
      <c r="D93" s="423"/>
      <c r="E93" s="423"/>
      <c r="F93" s="423"/>
      <c r="G93" s="423"/>
      <c r="H93" s="423"/>
      <c r="I93" s="423"/>
      <c r="J93" s="431"/>
    </row>
    <row r="94" spans="2:10" x14ac:dyDescent="0.2">
      <c r="B94" s="430" t="s">
        <v>211</v>
      </c>
      <c r="C94" s="423">
        <v>1</v>
      </c>
      <c r="D94" s="423">
        <v>17848</v>
      </c>
      <c r="E94" s="423">
        <v>427</v>
      </c>
      <c r="F94" s="423">
        <v>2685</v>
      </c>
      <c r="G94" s="423">
        <v>5324</v>
      </c>
      <c r="H94" s="423">
        <v>1</v>
      </c>
      <c r="I94" s="423">
        <v>1</v>
      </c>
      <c r="J94" s="431">
        <v>1</v>
      </c>
    </row>
    <row r="95" spans="2:10" x14ac:dyDescent="0.2">
      <c r="B95" s="430" t="s">
        <v>212</v>
      </c>
      <c r="C95" s="423">
        <v>0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31">
        <v>0</v>
      </c>
    </row>
    <row r="96" spans="2:10" x14ac:dyDescent="0.2">
      <c r="B96" s="430" t="s">
        <v>213</v>
      </c>
      <c r="C96" s="161">
        <v>1</v>
      </c>
      <c r="D96" s="423">
        <v>15260</v>
      </c>
      <c r="E96" s="423">
        <v>373</v>
      </c>
      <c r="F96" s="423">
        <v>5023</v>
      </c>
      <c r="G96" s="423">
        <v>4835</v>
      </c>
      <c r="H96" s="423">
        <v>1</v>
      </c>
      <c r="I96" s="423">
        <v>1</v>
      </c>
      <c r="J96" s="431">
        <v>1</v>
      </c>
    </row>
    <row r="97" spans="2:10" x14ac:dyDescent="0.2">
      <c r="B97" s="430" t="s">
        <v>214</v>
      </c>
      <c r="C97" s="423">
        <v>2</v>
      </c>
      <c r="D97" s="423">
        <v>10888</v>
      </c>
      <c r="E97" s="423">
        <v>758</v>
      </c>
      <c r="F97" s="423">
        <v>7695</v>
      </c>
      <c r="G97" s="423">
        <v>4237</v>
      </c>
      <c r="H97" s="423">
        <v>2</v>
      </c>
      <c r="I97" s="423">
        <v>2</v>
      </c>
      <c r="J97" s="431">
        <v>2</v>
      </c>
    </row>
    <row r="98" spans="2:10" x14ac:dyDescent="0.2">
      <c r="B98" s="430" t="s">
        <v>110</v>
      </c>
      <c r="C98" s="423">
        <v>2</v>
      </c>
      <c r="D98" s="423">
        <v>21596</v>
      </c>
      <c r="E98" s="423">
        <v>802</v>
      </c>
      <c r="F98" s="423">
        <v>6560</v>
      </c>
      <c r="G98" s="423">
        <v>5225</v>
      </c>
      <c r="H98" s="423">
        <v>2</v>
      </c>
      <c r="I98" s="423">
        <v>2</v>
      </c>
      <c r="J98" s="431">
        <v>2</v>
      </c>
    </row>
    <row r="99" spans="2:10" x14ac:dyDescent="0.2">
      <c r="B99" s="430" t="s">
        <v>215</v>
      </c>
      <c r="C99" s="423">
        <v>1</v>
      </c>
      <c r="D99" s="423">
        <v>12162</v>
      </c>
      <c r="E99" s="423">
        <v>119</v>
      </c>
      <c r="F99" s="423">
        <v>394</v>
      </c>
      <c r="G99" s="423">
        <v>1813</v>
      </c>
      <c r="H99" s="423">
        <v>1</v>
      </c>
      <c r="I99" s="423">
        <v>2</v>
      </c>
      <c r="J99" s="431">
        <v>2</v>
      </c>
    </row>
    <row r="100" spans="2:10" ht="14.25" customHeight="1" x14ac:dyDescent="0.2">
      <c r="B100" s="434" t="s">
        <v>22</v>
      </c>
      <c r="C100" s="434">
        <f>SUM(C94:C99)</f>
        <v>7</v>
      </c>
      <c r="D100" s="434">
        <f t="shared" ref="D100:J100" si="8">SUM(D94:D99)</f>
        <v>77754</v>
      </c>
      <c r="E100" s="434">
        <f t="shared" si="8"/>
        <v>2479</v>
      </c>
      <c r="F100" s="434">
        <f t="shared" si="8"/>
        <v>22357</v>
      </c>
      <c r="G100" s="434">
        <f t="shared" si="8"/>
        <v>21434</v>
      </c>
      <c r="H100" s="434">
        <f t="shared" si="8"/>
        <v>7</v>
      </c>
      <c r="I100" s="434">
        <f t="shared" si="8"/>
        <v>8</v>
      </c>
      <c r="J100" s="434">
        <f t="shared" si="8"/>
        <v>8</v>
      </c>
    </row>
    <row r="101" spans="2:10" x14ac:dyDescent="0.2">
      <c r="B101" s="428" t="s">
        <v>159</v>
      </c>
      <c r="C101" s="423"/>
      <c r="D101" s="423"/>
      <c r="E101" s="423"/>
      <c r="F101" s="423"/>
      <c r="G101" s="423"/>
      <c r="H101" s="423"/>
      <c r="I101" s="423"/>
      <c r="J101" s="431"/>
    </row>
    <row r="102" spans="2:10" x14ac:dyDescent="0.2">
      <c r="B102" s="430" t="s">
        <v>112</v>
      </c>
      <c r="C102" s="423">
        <v>2</v>
      </c>
      <c r="D102" s="423">
        <v>19773</v>
      </c>
      <c r="E102" s="423">
        <v>593</v>
      </c>
      <c r="F102" s="423">
        <v>8292</v>
      </c>
      <c r="G102" s="423">
        <v>18408</v>
      </c>
      <c r="H102" s="423">
        <v>3</v>
      </c>
      <c r="I102" s="423">
        <v>2</v>
      </c>
      <c r="J102" s="431">
        <v>2</v>
      </c>
    </row>
    <row r="103" spans="2:10" x14ac:dyDescent="0.2">
      <c r="B103" s="430" t="s">
        <v>216</v>
      </c>
      <c r="C103" s="423">
        <v>0</v>
      </c>
      <c r="D103" s="423">
        <v>0</v>
      </c>
      <c r="E103" s="423">
        <v>0</v>
      </c>
      <c r="F103" s="423">
        <v>0</v>
      </c>
      <c r="G103" s="423">
        <v>0</v>
      </c>
      <c r="H103" s="423">
        <v>0</v>
      </c>
      <c r="I103" s="423">
        <v>0</v>
      </c>
      <c r="J103" s="431">
        <v>0</v>
      </c>
    </row>
    <row r="104" spans="2:10" x14ac:dyDescent="0.2">
      <c r="B104" s="430" t="s">
        <v>217</v>
      </c>
      <c r="C104" s="423">
        <v>1</v>
      </c>
      <c r="D104" s="423">
        <v>4265</v>
      </c>
      <c r="E104" s="423">
        <v>331</v>
      </c>
      <c r="F104" s="423">
        <v>6989</v>
      </c>
      <c r="G104" s="423">
        <v>1995</v>
      </c>
      <c r="H104" s="423">
        <v>0</v>
      </c>
      <c r="I104" s="423">
        <v>1</v>
      </c>
      <c r="J104" s="431">
        <v>1</v>
      </c>
    </row>
    <row r="105" spans="2:10" x14ac:dyDescent="0.2">
      <c r="B105" s="430" t="s">
        <v>218</v>
      </c>
      <c r="C105" s="423">
        <v>0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31">
        <v>0</v>
      </c>
    </row>
    <row r="106" spans="2:10" x14ac:dyDescent="0.2">
      <c r="B106" s="430" t="s">
        <v>219</v>
      </c>
      <c r="C106" s="423">
        <v>0</v>
      </c>
      <c r="D106" s="423">
        <v>0</v>
      </c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31">
        <v>0</v>
      </c>
    </row>
    <row r="107" spans="2:10" x14ac:dyDescent="0.2">
      <c r="B107" s="430" t="s">
        <v>220</v>
      </c>
      <c r="C107" s="423">
        <v>2</v>
      </c>
      <c r="D107" s="423">
        <v>18138</v>
      </c>
      <c r="E107" s="423">
        <v>513</v>
      </c>
      <c r="F107" s="423">
        <v>5877</v>
      </c>
      <c r="G107" s="423">
        <v>6893</v>
      </c>
      <c r="H107" s="423">
        <v>2</v>
      </c>
      <c r="I107" s="423">
        <v>2</v>
      </c>
      <c r="J107" s="431">
        <v>2</v>
      </c>
    </row>
    <row r="108" spans="2:10" x14ac:dyDescent="0.2">
      <c r="B108" s="430" t="s">
        <v>113</v>
      </c>
      <c r="C108" s="423">
        <v>26</v>
      </c>
      <c r="D108" s="423">
        <v>258869</v>
      </c>
      <c r="E108" s="423">
        <v>21511</v>
      </c>
      <c r="F108" s="423">
        <v>199233</v>
      </c>
      <c r="G108" s="423">
        <v>304617</v>
      </c>
      <c r="H108" s="423">
        <v>41</v>
      </c>
      <c r="I108" s="423">
        <v>26</v>
      </c>
      <c r="J108" s="431">
        <v>26</v>
      </c>
    </row>
    <row r="109" spans="2:10" x14ac:dyDescent="0.2">
      <c r="B109" s="430" t="s">
        <v>221</v>
      </c>
      <c r="C109" s="423">
        <v>0</v>
      </c>
      <c r="D109" s="423">
        <v>0</v>
      </c>
      <c r="E109" s="423">
        <v>0</v>
      </c>
      <c r="F109" s="423">
        <v>0</v>
      </c>
      <c r="G109" s="423">
        <v>0</v>
      </c>
      <c r="H109" s="423">
        <v>0</v>
      </c>
      <c r="I109" s="423">
        <v>0</v>
      </c>
      <c r="J109" s="431">
        <v>0</v>
      </c>
    </row>
    <row r="110" spans="2:10" ht="14.25" customHeight="1" x14ac:dyDescent="0.2">
      <c r="B110" s="434" t="s">
        <v>22</v>
      </c>
      <c r="C110" s="434">
        <f>SUM(C102:C109)</f>
        <v>31</v>
      </c>
      <c r="D110" s="434">
        <f t="shared" ref="D110:J110" si="9">SUM(D102:D109)</f>
        <v>301045</v>
      </c>
      <c r="E110" s="434">
        <f t="shared" si="9"/>
        <v>22948</v>
      </c>
      <c r="F110" s="434">
        <f t="shared" si="9"/>
        <v>220391</v>
      </c>
      <c r="G110" s="434">
        <f t="shared" si="9"/>
        <v>331913</v>
      </c>
      <c r="H110" s="434">
        <f t="shared" si="9"/>
        <v>46</v>
      </c>
      <c r="I110" s="434">
        <f t="shared" si="9"/>
        <v>31</v>
      </c>
      <c r="J110" s="434">
        <f t="shared" si="9"/>
        <v>31</v>
      </c>
    </row>
    <row r="111" spans="2:10" ht="18" customHeight="1" x14ac:dyDescent="0.2">
      <c r="B111" s="447" t="s">
        <v>115</v>
      </c>
      <c r="C111" s="447">
        <f t="shared" ref="C111:J111" si="10">C17+C27+C36+C43+C51+C80+C86+C92+C100+C110</f>
        <v>160</v>
      </c>
      <c r="D111" s="447">
        <f t="shared" si="10"/>
        <v>1616216</v>
      </c>
      <c r="E111" s="447">
        <f t="shared" si="10"/>
        <v>88969</v>
      </c>
      <c r="F111" s="447">
        <f t="shared" si="10"/>
        <v>821546</v>
      </c>
      <c r="G111" s="447">
        <f t="shared" si="10"/>
        <v>1051514</v>
      </c>
      <c r="H111" s="447">
        <f t="shared" si="10"/>
        <v>226</v>
      </c>
      <c r="I111" s="447">
        <f t="shared" si="10"/>
        <v>159</v>
      </c>
      <c r="J111" s="447">
        <f t="shared" si="10"/>
        <v>159</v>
      </c>
    </row>
    <row r="112" spans="2:10" x14ac:dyDescent="0.2">
      <c r="B112" s="440"/>
    </row>
    <row r="113" spans="2:2" x14ac:dyDescent="0.2">
      <c r="B113" s="440"/>
    </row>
    <row r="114" spans="2:2" x14ac:dyDescent="0.2">
      <c r="B114" s="440"/>
    </row>
    <row r="115" spans="2:2" x14ac:dyDescent="0.2">
      <c r="B115" s="440"/>
    </row>
    <row r="116" spans="2:2" x14ac:dyDescent="0.2">
      <c r="B116" s="440"/>
    </row>
    <row r="117" spans="2:2" x14ac:dyDescent="0.2">
      <c r="B117" s="440"/>
    </row>
    <row r="118" spans="2:2" x14ac:dyDescent="0.2">
      <c r="B118" s="440"/>
    </row>
    <row r="119" spans="2:2" x14ac:dyDescent="0.2">
      <c r="B119" s="440"/>
    </row>
    <row r="120" spans="2:2" x14ac:dyDescent="0.2">
      <c r="B120" s="440"/>
    </row>
    <row r="121" spans="2:2" x14ac:dyDescent="0.2">
      <c r="B121" s="440"/>
    </row>
    <row r="122" spans="2:2" x14ac:dyDescent="0.2">
      <c r="B122" s="440"/>
    </row>
    <row r="123" spans="2:2" x14ac:dyDescent="0.2">
      <c r="B123" s="440"/>
    </row>
    <row r="124" spans="2:2" x14ac:dyDescent="0.2">
      <c r="B124" s="440"/>
    </row>
    <row r="125" spans="2:2" x14ac:dyDescent="0.2">
      <c r="B125" s="440"/>
    </row>
    <row r="126" spans="2:2" x14ac:dyDescent="0.2">
      <c r="B126" s="440"/>
    </row>
    <row r="127" spans="2:2" x14ac:dyDescent="0.2">
      <c r="B127" s="440"/>
    </row>
    <row r="128" spans="2:2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  <row r="173" spans="2:2" x14ac:dyDescent="0.2">
      <c r="B173" s="440"/>
    </row>
  </sheetData>
  <mergeCells count="22">
    <mergeCell ref="H68:H70"/>
    <mergeCell ref="I68:J69"/>
    <mergeCell ref="I7:J8"/>
    <mergeCell ref="B62:J62"/>
    <mergeCell ref="I63:J63"/>
    <mergeCell ref="B67:J67"/>
    <mergeCell ref="B68:B70"/>
    <mergeCell ref="C68:C70"/>
    <mergeCell ref="D68:D70"/>
    <mergeCell ref="E68:E70"/>
    <mergeCell ref="F68:F70"/>
    <mergeCell ref="G68:G70"/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</mergeCells>
  <pageMargins left="0.89" right="0.75" top="1" bottom="1" header="0" footer="0"/>
  <pageSetup paperSize="9" scale="85" fitToHeight="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74"/>
  <sheetViews>
    <sheetView topLeftCell="A82" zoomScale="98" zoomScaleNormal="98" workbookViewId="0">
      <selection activeCell="F112" sqref="F112"/>
    </sheetView>
  </sheetViews>
  <sheetFormatPr defaultColWidth="9.140625" defaultRowHeight="12" x14ac:dyDescent="0.2"/>
  <cols>
    <col min="1" max="1" width="9.140625" style="161"/>
    <col min="2" max="2" width="14.42578125" style="161" customWidth="1"/>
    <col min="3" max="3" width="8" style="440" customWidth="1"/>
    <col min="4" max="4" width="9.85546875" style="161" customWidth="1"/>
    <col min="5" max="5" width="8.5703125" style="440" customWidth="1"/>
    <col min="6" max="6" width="9.42578125" style="440" customWidth="1"/>
    <col min="7" max="7" width="10.85546875" style="440" customWidth="1"/>
    <col min="8" max="8" width="11.285156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168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173"/>
      <c r="C3" s="1005"/>
      <c r="D3" s="1005"/>
      <c r="E3" s="1005"/>
      <c r="F3" s="1005"/>
      <c r="G3" s="1005"/>
      <c r="H3" s="1005"/>
      <c r="I3" s="173"/>
      <c r="J3" s="173"/>
    </row>
    <row r="4" spans="2:21" s="175" customFormat="1" ht="15.75" x14ac:dyDescent="0.25">
      <c r="B4" s="174"/>
      <c r="C4" s="450"/>
      <c r="E4" s="450"/>
      <c r="F4" s="450"/>
      <c r="G4" s="450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2.75" x14ac:dyDescent="0.2">
      <c r="B10" s="190">
        <v>1</v>
      </c>
      <c r="C10" s="163">
        <v>2</v>
      </c>
      <c r="D10" s="164">
        <v>3</v>
      </c>
      <c r="E10" s="163">
        <v>4</v>
      </c>
      <c r="F10" s="163">
        <v>5</v>
      </c>
      <c r="G10" s="163">
        <v>6</v>
      </c>
      <c r="H10" s="164">
        <v>7</v>
      </c>
      <c r="I10" s="164">
        <v>8</v>
      </c>
      <c r="J10" s="164">
        <v>9</v>
      </c>
      <c r="K10" s="424"/>
      <c r="L10" s="424"/>
      <c r="U10" s="376"/>
    </row>
    <row r="11" spans="2:21" ht="12.75" x14ac:dyDescent="0.2">
      <c r="B11" s="465" t="s">
        <v>151</v>
      </c>
      <c r="C11" s="256"/>
      <c r="D11" s="256"/>
      <c r="E11" s="459"/>
      <c r="F11" s="459"/>
      <c r="G11" s="459"/>
      <c r="H11" s="256"/>
      <c r="I11" s="256"/>
      <c r="J11" s="456"/>
      <c r="U11" s="376"/>
    </row>
    <row r="12" spans="2:21" ht="12.75" x14ac:dyDescent="0.2">
      <c r="B12" s="455" t="s">
        <v>88</v>
      </c>
      <c r="C12" s="256">
        <v>1</v>
      </c>
      <c r="D12" s="256">
        <v>13162</v>
      </c>
      <c r="E12" s="459">
        <v>692</v>
      </c>
      <c r="F12" s="459">
        <v>2323</v>
      </c>
      <c r="G12" s="459">
        <v>2768</v>
      </c>
      <c r="H12" s="256">
        <v>2</v>
      </c>
      <c r="I12" s="256">
        <v>1</v>
      </c>
      <c r="J12" s="456">
        <v>1</v>
      </c>
      <c r="U12" s="376"/>
    </row>
    <row r="13" spans="2:21" ht="12.75" x14ac:dyDescent="0.2">
      <c r="B13" s="455" t="s">
        <v>179</v>
      </c>
      <c r="C13" s="256">
        <v>1</v>
      </c>
      <c r="D13" s="256">
        <v>5435</v>
      </c>
      <c r="E13" s="459">
        <v>37</v>
      </c>
      <c r="F13" s="459">
        <v>654</v>
      </c>
      <c r="G13" s="459">
        <v>531</v>
      </c>
      <c r="H13" s="256">
        <v>1</v>
      </c>
      <c r="I13" s="256">
        <v>1</v>
      </c>
      <c r="J13" s="456">
        <v>1</v>
      </c>
      <c r="U13" s="376"/>
    </row>
    <row r="14" spans="2:21" ht="12.75" x14ac:dyDescent="0.2">
      <c r="B14" s="455" t="s">
        <v>89</v>
      </c>
      <c r="C14" s="256">
        <v>2</v>
      </c>
      <c r="D14" s="256">
        <v>31312</v>
      </c>
      <c r="E14" s="459">
        <v>2092</v>
      </c>
      <c r="F14" s="459">
        <v>31102</v>
      </c>
      <c r="G14" s="459">
        <v>20267</v>
      </c>
      <c r="H14" s="256">
        <v>4</v>
      </c>
      <c r="I14" s="256">
        <v>2</v>
      </c>
      <c r="J14" s="456">
        <v>2</v>
      </c>
      <c r="U14" s="376"/>
    </row>
    <row r="15" spans="2:21" ht="12.75" x14ac:dyDescent="0.2">
      <c r="B15" s="455" t="s">
        <v>180</v>
      </c>
      <c r="C15" s="256">
        <v>2</v>
      </c>
      <c r="D15" s="256">
        <v>13780</v>
      </c>
      <c r="E15" s="459">
        <v>168</v>
      </c>
      <c r="F15" s="459">
        <v>472</v>
      </c>
      <c r="G15" s="459">
        <v>1060</v>
      </c>
      <c r="H15" s="256">
        <v>2</v>
      </c>
      <c r="I15" s="256">
        <v>1</v>
      </c>
      <c r="J15" s="456">
        <v>1</v>
      </c>
      <c r="U15" s="376"/>
    </row>
    <row r="16" spans="2:21" ht="12.75" x14ac:dyDescent="0.2">
      <c r="B16" s="457" t="s">
        <v>181</v>
      </c>
      <c r="C16" s="256">
        <v>3</v>
      </c>
      <c r="D16" s="256">
        <v>38120</v>
      </c>
      <c r="E16" s="459">
        <v>335</v>
      </c>
      <c r="F16" s="459">
        <v>958</v>
      </c>
      <c r="G16" s="459">
        <v>4301</v>
      </c>
      <c r="H16" s="256">
        <v>2</v>
      </c>
      <c r="I16" s="256">
        <v>2</v>
      </c>
      <c r="J16" s="458">
        <v>2</v>
      </c>
      <c r="U16" s="376"/>
    </row>
    <row r="17" spans="1:10" ht="16.5" customHeight="1" x14ac:dyDescent="0.2">
      <c r="B17" s="460" t="s">
        <v>22</v>
      </c>
      <c r="C17" s="460">
        <f>SUM(C12:C16)</f>
        <v>9</v>
      </c>
      <c r="D17" s="460">
        <f>SUM(D12:D16)</f>
        <v>101809</v>
      </c>
      <c r="E17" s="460">
        <f t="shared" ref="E17:J17" si="0">SUM(E12:E16)</f>
        <v>3324</v>
      </c>
      <c r="F17" s="460">
        <f t="shared" si="0"/>
        <v>35509</v>
      </c>
      <c r="G17" s="460">
        <f t="shared" si="0"/>
        <v>28927</v>
      </c>
      <c r="H17" s="460">
        <f t="shared" si="0"/>
        <v>11</v>
      </c>
      <c r="I17" s="460">
        <f>SUM(I12:I16)</f>
        <v>7</v>
      </c>
      <c r="J17" s="460">
        <f t="shared" si="0"/>
        <v>7</v>
      </c>
    </row>
    <row r="18" spans="1:10" x14ac:dyDescent="0.2">
      <c r="B18" s="461" t="s">
        <v>152</v>
      </c>
      <c r="C18" s="462"/>
      <c r="D18" s="463"/>
      <c r="E18" s="462"/>
      <c r="F18" s="462"/>
      <c r="G18" s="462"/>
      <c r="H18" s="463"/>
      <c r="I18" s="463"/>
      <c r="J18" s="456"/>
    </row>
    <row r="19" spans="1:10" x14ac:dyDescent="0.2">
      <c r="B19" s="464" t="s">
        <v>91</v>
      </c>
      <c r="C19" s="462">
        <v>0</v>
      </c>
      <c r="D19" s="463">
        <v>0</v>
      </c>
      <c r="E19" s="462">
        <v>0</v>
      </c>
      <c r="F19" s="462">
        <v>0</v>
      </c>
      <c r="G19" s="462">
        <v>0</v>
      </c>
      <c r="H19" s="463">
        <v>0</v>
      </c>
      <c r="I19" s="463">
        <v>0</v>
      </c>
      <c r="J19" s="456">
        <v>0</v>
      </c>
    </row>
    <row r="20" spans="1:10" x14ac:dyDescent="0.2">
      <c r="A20" s="440"/>
      <c r="B20" s="464" t="s">
        <v>182</v>
      </c>
      <c r="C20" s="462">
        <v>7</v>
      </c>
      <c r="D20" s="463">
        <v>95912</v>
      </c>
      <c r="E20" s="462">
        <v>1179</v>
      </c>
      <c r="F20" s="462">
        <v>6365</v>
      </c>
      <c r="G20" s="462">
        <v>14788</v>
      </c>
      <c r="H20" s="463">
        <v>8</v>
      </c>
      <c r="I20" s="463">
        <v>7</v>
      </c>
      <c r="J20" s="456">
        <v>7</v>
      </c>
    </row>
    <row r="21" spans="1:10" x14ac:dyDescent="0.2">
      <c r="B21" s="464" t="s">
        <v>183</v>
      </c>
      <c r="C21" s="462">
        <v>4</v>
      </c>
      <c r="D21" s="463">
        <v>27413</v>
      </c>
      <c r="E21" s="462">
        <v>523</v>
      </c>
      <c r="F21" s="462">
        <v>4048</v>
      </c>
      <c r="G21" s="462">
        <v>7923</v>
      </c>
      <c r="H21" s="463">
        <v>4</v>
      </c>
      <c r="I21" s="463">
        <v>4</v>
      </c>
      <c r="J21" s="456">
        <v>4</v>
      </c>
    </row>
    <row r="22" spans="1:10" x14ac:dyDescent="0.2">
      <c r="B22" s="464" t="s">
        <v>92</v>
      </c>
      <c r="C22" s="462">
        <v>9</v>
      </c>
      <c r="D22" s="463">
        <v>93646</v>
      </c>
      <c r="E22" s="462">
        <v>2919</v>
      </c>
      <c r="F22" s="462">
        <v>48337</v>
      </c>
      <c r="G22" s="462">
        <v>43098</v>
      </c>
      <c r="H22" s="463">
        <v>10</v>
      </c>
      <c r="I22" s="463">
        <v>9</v>
      </c>
      <c r="J22" s="456">
        <v>9</v>
      </c>
    </row>
    <row r="23" spans="1:10" x14ac:dyDescent="0.2">
      <c r="B23" s="464" t="s">
        <v>184</v>
      </c>
      <c r="C23" s="462">
        <v>6</v>
      </c>
      <c r="D23" s="463">
        <v>51327</v>
      </c>
      <c r="E23" s="462">
        <v>2476</v>
      </c>
      <c r="F23" s="462">
        <v>20168</v>
      </c>
      <c r="G23" s="462">
        <v>24578</v>
      </c>
      <c r="H23" s="463">
        <v>6</v>
      </c>
      <c r="I23" s="463">
        <v>6</v>
      </c>
      <c r="J23" s="456">
        <v>6</v>
      </c>
    </row>
    <row r="24" spans="1:10" x14ac:dyDescent="0.2">
      <c r="B24" s="464" t="s">
        <v>185</v>
      </c>
      <c r="C24" s="462">
        <v>4</v>
      </c>
      <c r="D24" s="463">
        <v>22656</v>
      </c>
      <c r="E24" s="462">
        <v>440</v>
      </c>
      <c r="F24" s="462">
        <v>14115</v>
      </c>
      <c r="G24" s="462">
        <v>14027</v>
      </c>
      <c r="H24" s="463">
        <v>5</v>
      </c>
      <c r="I24" s="463">
        <v>3</v>
      </c>
      <c r="J24" s="456">
        <v>3</v>
      </c>
    </row>
    <row r="25" spans="1:10" x14ac:dyDescent="0.2">
      <c r="B25" s="464" t="s">
        <v>186</v>
      </c>
      <c r="C25" s="462">
        <v>5</v>
      </c>
      <c r="D25" s="463">
        <v>34470</v>
      </c>
      <c r="E25" s="462">
        <v>938</v>
      </c>
      <c r="F25" s="462">
        <v>5472</v>
      </c>
      <c r="G25" s="462">
        <v>4191</v>
      </c>
      <c r="H25" s="463">
        <v>5</v>
      </c>
      <c r="I25" s="463">
        <v>5</v>
      </c>
      <c r="J25" s="456">
        <v>5</v>
      </c>
    </row>
    <row r="26" spans="1:10" x14ac:dyDescent="0.2">
      <c r="B26" s="464" t="s">
        <v>187</v>
      </c>
      <c r="C26" s="462">
        <v>3</v>
      </c>
      <c r="D26" s="463">
        <v>8946</v>
      </c>
      <c r="E26" s="462">
        <v>246</v>
      </c>
      <c r="F26" s="462">
        <v>1618</v>
      </c>
      <c r="G26" s="462">
        <v>3108</v>
      </c>
      <c r="H26" s="463">
        <v>2</v>
      </c>
      <c r="I26" s="463">
        <v>3</v>
      </c>
      <c r="J26" s="456">
        <v>3</v>
      </c>
    </row>
    <row r="27" spans="1:10" ht="17.25" customHeight="1" x14ac:dyDescent="0.2">
      <c r="B27" s="460" t="s">
        <v>22</v>
      </c>
      <c r="C27" s="460">
        <f>SUM(C19:C26)</f>
        <v>38</v>
      </c>
      <c r="D27" s="460">
        <f>SUM(D19:D26)</f>
        <v>334370</v>
      </c>
      <c r="E27" s="460">
        <f t="shared" ref="E27:J27" si="1">SUM(E19:E26)</f>
        <v>8721</v>
      </c>
      <c r="F27" s="460">
        <f t="shared" si="1"/>
        <v>100123</v>
      </c>
      <c r="G27" s="460">
        <f t="shared" si="1"/>
        <v>111713</v>
      </c>
      <c r="H27" s="460">
        <f t="shared" si="1"/>
        <v>40</v>
      </c>
      <c r="I27" s="460">
        <f t="shared" si="1"/>
        <v>37</v>
      </c>
      <c r="J27" s="460">
        <f t="shared" si="1"/>
        <v>37</v>
      </c>
    </row>
    <row r="28" spans="1:10" x14ac:dyDescent="0.2">
      <c r="A28" s="440"/>
      <c r="B28" s="465" t="s">
        <v>153</v>
      </c>
      <c r="C28" s="256"/>
      <c r="D28" s="256"/>
      <c r="E28" s="459"/>
      <c r="F28" s="459"/>
      <c r="G28" s="459"/>
      <c r="H28" s="256"/>
      <c r="I28" s="256"/>
      <c r="J28" s="454"/>
    </row>
    <row r="29" spans="1:10" x14ac:dyDescent="0.2">
      <c r="B29" s="455" t="s">
        <v>94</v>
      </c>
      <c r="C29" s="256">
        <v>3</v>
      </c>
      <c r="D29" s="256">
        <v>26572</v>
      </c>
      <c r="E29" s="459">
        <v>339</v>
      </c>
      <c r="F29" s="459">
        <v>1173</v>
      </c>
      <c r="G29" s="459">
        <v>1974</v>
      </c>
      <c r="H29" s="256">
        <v>3</v>
      </c>
      <c r="I29" s="256">
        <v>2</v>
      </c>
      <c r="J29" s="456">
        <v>2</v>
      </c>
    </row>
    <row r="30" spans="1:10" x14ac:dyDescent="0.2">
      <c r="B30" s="455" t="s">
        <v>188</v>
      </c>
      <c r="C30" s="256">
        <v>7</v>
      </c>
      <c r="D30" s="256">
        <v>48947</v>
      </c>
      <c r="E30" s="459">
        <v>1456</v>
      </c>
      <c r="F30" s="459">
        <v>15089</v>
      </c>
      <c r="G30" s="459">
        <v>24903</v>
      </c>
      <c r="H30" s="256">
        <v>12</v>
      </c>
      <c r="I30" s="256">
        <v>7</v>
      </c>
      <c r="J30" s="456">
        <v>7</v>
      </c>
    </row>
    <row r="31" spans="1:10" x14ac:dyDescent="0.2">
      <c r="B31" s="455" t="s">
        <v>189</v>
      </c>
      <c r="C31" s="256">
        <v>4</v>
      </c>
      <c r="D31" s="256">
        <v>23087</v>
      </c>
      <c r="E31" s="459">
        <v>667</v>
      </c>
      <c r="F31" s="459">
        <v>6440</v>
      </c>
      <c r="G31" s="459">
        <v>9637</v>
      </c>
      <c r="H31" s="256">
        <v>4</v>
      </c>
      <c r="I31" s="256">
        <v>4</v>
      </c>
      <c r="J31" s="456">
        <v>4</v>
      </c>
    </row>
    <row r="32" spans="1:10" x14ac:dyDescent="0.2">
      <c r="B32" s="455" t="s">
        <v>95</v>
      </c>
      <c r="C32" s="256">
        <v>0</v>
      </c>
      <c r="D32" s="256">
        <v>0</v>
      </c>
      <c r="E32" s="459">
        <v>0</v>
      </c>
      <c r="F32" s="459">
        <v>0</v>
      </c>
      <c r="G32" s="459">
        <v>0</v>
      </c>
      <c r="H32" s="256">
        <v>0</v>
      </c>
      <c r="I32" s="256">
        <v>0</v>
      </c>
      <c r="J32" s="456">
        <v>0</v>
      </c>
    </row>
    <row r="33" spans="2:10" x14ac:dyDescent="0.2">
      <c r="B33" s="464" t="s">
        <v>96</v>
      </c>
      <c r="C33" s="462">
        <v>2</v>
      </c>
      <c r="D33" s="463">
        <v>25061</v>
      </c>
      <c r="E33" s="462">
        <v>759</v>
      </c>
      <c r="F33" s="462">
        <v>5893</v>
      </c>
      <c r="G33" s="462">
        <v>11309</v>
      </c>
      <c r="H33" s="463">
        <v>3</v>
      </c>
      <c r="I33" s="463">
        <v>2</v>
      </c>
      <c r="J33" s="456">
        <v>2</v>
      </c>
    </row>
    <row r="34" spans="2:10" x14ac:dyDescent="0.2">
      <c r="B34" s="464" t="s">
        <v>190</v>
      </c>
      <c r="C34" s="462">
        <v>0</v>
      </c>
      <c r="D34" s="462">
        <v>0</v>
      </c>
      <c r="E34" s="462">
        <v>0</v>
      </c>
      <c r="F34" s="462">
        <v>0</v>
      </c>
      <c r="G34" s="462">
        <v>0</v>
      </c>
      <c r="H34" s="462">
        <v>0</v>
      </c>
      <c r="I34" s="462">
        <v>0</v>
      </c>
      <c r="J34" s="664">
        <v>0</v>
      </c>
    </row>
    <row r="35" spans="2:10" x14ac:dyDescent="0.2">
      <c r="B35" s="466" t="s">
        <v>191</v>
      </c>
      <c r="C35" s="462">
        <v>1</v>
      </c>
      <c r="D35" s="463">
        <v>18018</v>
      </c>
      <c r="E35" s="462">
        <v>704</v>
      </c>
      <c r="F35" s="462">
        <v>4469</v>
      </c>
      <c r="G35" s="462">
        <v>12205</v>
      </c>
      <c r="H35" s="463">
        <v>2</v>
      </c>
      <c r="I35" s="463">
        <v>1</v>
      </c>
      <c r="J35" s="458">
        <v>1</v>
      </c>
    </row>
    <row r="36" spans="2:10" ht="14.25" customHeight="1" x14ac:dyDescent="0.2">
      <c r="B36" s="460" t="s">
        <v>22</v>
      </c>
      <c r="C36" s="460">
        <f>SUM(C29:C35)</f>
        <v>17</v>
      </c>
      <c r="D36" s="460">
        <f>SUM(D29:D35)</f>
        <v>141685</v>
      </c>
      <c r="E36" s="460">
        <f t="shared" ref="E36:J36" si="2">SUM(E29:E35)</f>
        <v>3925</v>
      </c>
      <c r="F36" s="460">
        <f t="shared" si="2"/>
        <v>33064</v>
      </c>
      <c r="G36" s="460">
        <f t="shared" si="2"/>
        <v>60028</v>
      </c>
      <c r="H36" s="460">
        <f t="shared" si="2"/>
        <v>24</v>
      </c>
      <c r="I36" s="460">
        <f t="shared" si="2"/>
        <v>16</v>
      </c>
      <c r="J36" s="460">
        <f t="shared" si="2"/>
        <v>16</v>
      </c>
    </row>
    <row r="37" spans="2:10" x14ac:dyDescent="0.2">
      <c r="B37" s="461" t="s">
        <v>97</v>
      </c>
      <c r="C37" s="462"/>
      <c r="D37" s="463"/>
      <c r="E37" s="462"/>
      <c r="F37" s="462"/>
      <c r="G37" s="462"/>
      <c r="H37" s="463"/>
      <c r="I37" s="463"/>
      <c r="J37" s="456"/>
    </row>
    <row r="38" spans="2:10" x14ac:dyDescent="0.2">
      <c r="B38" s="464" t="s">
        <v>98</v>
      </c>
      <c r="C38" s="462">
        <v>2</v>
      </c>
      <c r="D38" s="463">
        <v>5711</v>
      </c>
      <c r="E38" s="462">
        <v>132</v>
      </c>
      <c r="F38" s="462">
        <v>264</v>
      </c>
      <c r="G38" s="462">
        <v>1412</v>
      </c>
      <c r="H38" s="463">
        <v>2</v>
      </c>
      <c r="I38" s="463">
        <v>2</v>
      </c>
      <c r="J38" s="456">
        <v>2</v>
      </c>
    </row>
    <row r="39" spans="2:10" x14ac:dyDescent="0.2">
      <c r="B39" s="464" t="s">
        <v>99</v>
      </c>
      <c r="C39" s="462">
        <v>1</v>
      </c>
      <c r="D39" s="463">
        <v>357</v>
      </c>
      <c r="E39" s="462">
        <v>58</v>
      </c>
      <c r="F39" s="462">
        <v>1164</v>
      </c>
      <c r="G39" s="462">
        <v>2972</v>
      </c>
      <c r="H39" s="463">
        <v>1</v>
      </c>
      <c r="I39" s="463">
        <v>1</v>
      </c>
      <c r="J39" s="456">
        <v>1</v>
      </c>
    </row>
    <row r="40" spans="2:10" x14ac:dyDescent="0.2">
      <c r="B40" s="464" t="s">
        <v>100</v>
      </c>
      <c r="C40" s="462">
        <v>3</v>
      </c>
      <c r="D40" s="463">
        <v>28418</v>
      </c>
      <c r="E40" s="462">
        <v>965</v>
      </c>
      <c r="F40" s="462">
        <v>14672</v>
      </c>
      <c r="G40" s="462">
        <v>16037</v>
      </c>
      <c r="H40" s="463">
        <v>4</v>
      </c>
      <c r="I40" s="463">
        <v>3</v>
      </c>
      <c r="J40" s="456">
        <v>3</v>
      </c>
    </row>
    <row r="41" spans="2:10" x14ac:dyDescent="0.2">
      <c r="B41" s="464" t="s">
        <v>192</v>
      </c>
      <c r="C41" s="462">
        <v>6</v>
      </c>
      <c r="D41" s="463">
        <v>79526</v>
      </c>
      <c r="E41" s="462">
        <v>1691</v>
      </c>
      <c r="F41" s="462">
        <v>10574</v>
      </c>
      <c r="G41" s="462">
        <v>12208</v>
      </c>
      <c r="H41" s="463">
        <v>7</v>
      </c>
      <c r="I41" s="463">
        <v>5</v>
      </c>
      <c r="J41" s="456">
        <v>5</v>
      </c>
    </row>
    <row r="42" spans="2:10" x14ac:dyDescent="0.2">
      <c r="B42" s="464" t="s">
        <v>193</v>
      </c>
      <c r="C42" s="462">
        <v>5</v>
      </c>
      <c r="D42" s="463">
        <v>79057</v>
      </c>
      <c r="E42" s="462">
        <v>1190</v>
      </c>
      <c r="F42" s="462">
        <v>7221</v>
      </c>
      <c r="G42" s="462">
        <v>26322</v>
      </c>
      <c r="H42" s="463">
        <v>8</v>
      </c>
      <c r="I42" s="463">
        <v>5</v>
      </c>
      <c r="J42" s="458">
        <v>5</v>
      </c>
    </row>
    <row r="43" spans="2:10" ht="18.75" customHeight="1" x14ac:dyDescent="0.2">
      <c r="B43" s="460" t="s">
        <v>22</v>
      </c>
      <c r="C43" s="460">
        <f>SUM(C37:C42)</f>
        <v>17</v>
      </c>
      <c r="D43" s="460">
        <f>SUM(D38:D42)</f>
        <v>193069</v>
      </c>
      <c r="E43" s="460">
        <f t="shared" ref="E43:J43" si="3">SUM(E38:E42)</f>
        <v>4036</v>
      </c>
      <c r="F43" s="460">
        <f t="shared" si="3"/>
        <v>33895</v>
      </c>
      <c r="G43" s="460">
        <f t="shared" si="3"/>
        <v>58951</v>
      </c>
      <c r="H43" s="460">
        <f t="shared" si="3"/>
        <v>22</v>
      </c>
      <c r="I43" s="460">
        <f t="shared" si="3"/>
        <v>16</v>
      </c>
      <c r="J43" s="460">
        <f t="shared" si="3"/>
        <v>16</v>
      </c>
    </row>
    <row r="44" spans="2:10" x14ac:dyDescent="0.2">
      <c r="B44" s="461" t="s">
        <v>154</v>
      </c>
      <c r="C44" s="462"/>
      <c r="D44" s="463"/>
      <c r="E44" s="462"/>
      <c r="F44" s="462"/>
      <c r="G44" s="462"/>
      <c r="H44" s="463"/>
      <c r="I44" s="463"/>
      <c r="J44" s="456"/>
    </row>
    <row r="45" spans="2:10" x14ac:dyDescent="0.2">
      <c r="B45" s="464" t="s">
        <v>194</v>
      </c>
      <c r="C45" s="462">
        <v>3</v>
      </c>
      <c r="D45" s="462">
        <v>78824</v>
      </c>
      <c r="E45" s="462">
        <v>1516</v>
      </c>
      <c r="F45" s="462">
        <v>10831</v>
      </c>
      <c r="G45" s="462">
        <v>15112</v>
      </c>
      <c r="H45" s="463">
        <v>7</v>
      </c>
      <c r="I45" s="463">
        <v>3</v>
      </c>
      <c r="J45" s="456">
        <v>3</v>
      </c>
    </row>
    <row r="46" spans="2:10" x14ac:dyDescent="0.2">
      <c r="B46" s="464" t="s">
        <v>195</v>
      </c>
      <c r="C46" s="462">
        <v>1</v>
      </c>
      <c r="D46" s="463">
        <v>8544</v>
      </c>
      <c r="E46" s="462">
        <v>130</v>
      </c>
      <c r="F46" s="462">
        <v>7446</v>
      </c>
      <c r="G46" s="462">
        <v>5631</v>
      </c>
      <c r="H46" s="463">
        <v>1</v>
      </c>
      <c r="I46" s="463">
        <v>1</v>
      </c>
      <c r="J46" s="456">
        <v>1</v>
      </c>
    </row>
    <row r="47" spans="2:10" x14ac:dyDescent="0.2">
      <c r="B47" s="464" t="s">
        <v>102</v>
      </c>
      <c r="C47" s="462">
        <v>3</v>
      </c>
      <c r="D47" s="463">
        <v>34545</v>
      </c>
      <c r="E47" s="462">
        <v>644</v>
      </c>
      <c r="F47" s="462">
        <v>7387</v>
      </c>
      <c r="G47" s="462">
        <v>12533</v>
      </c>
      <c r="H47" s="463">
        <v>4</v>
      </c>
      <c r="I47" s="463">
        <v>3</v>
      </c>
      <c r="J47" s="456">
        <v>3</v>
      </c>
    </row>
    <row r="48" spans="2:10" x14ac:dyDescent="0.2">
      <c r="B48" s="464" t="s">
        <v>196</v>
      </c>
      <c r="C48" s="462">
        <v>3</v>
      </c>
      <c r="D48" s="463">
        <v>23277</v>
      </c>
      <c r="E48" s="462">
        <v>460</v>
      </c>
      <c r="F48" s="462">
        <v>7453</v>
      </c>
      <c r="G48" s="462">
        <v>5491</v>
      </c>
      <c r="H48" s="463">
        <v>3</v>
      </c>
      <c r="I48" s="463">
        <v>3</v>
      </c>
      <c r="J48" s="456">
        <v>3</v>
      </c>
    </row>
    <row r="49" spans="2:10" x14ac:dyDescent="0.2">
      <c r="B49" s="464" t="s">
        <v>197</v>
      </c>
      <c r="C49" s="462">
        <v>3</v>
      </c>
      <c r="D49" s="463">
        <v>39305</v>
      </c>
      <c r="E49" s="462">
        <v>894</v>
      </c>
      <c r="F49" s="462">
        <v>17211</v>
      </c>
      <c r="G49" s="462">
        <v>14901</v>
      </c>
      <c r="H49" s="463">
        <v>4</v>
      </c>
      <c r="I49" s="463">
        <v>3</v>
      </c>
      <c r="J49" s="456">
        <v>3</v>
      </c>
    </row>
    <row r="50" spans="2:10" x14ac:dyDescent="0.2">
      <c r="B50" s="464" t="s">
        <v>198</v>
      </c>
      <c r="C50" s="462">
        <v>0</v>
      </c>
      <c r="D50" s="463">
        <v>0</v>
      </c>
      <c r="E50" s="462">
        <v>0</v>
      </c>
      <c r="F50" s="462">
        <v>0</v>
      </c>
      <c r="G50" s="462">
        <v>0</v>
      </c>
      <c r="H50" s="463">
        <v>0</v>
      </c>
      <c r="I50" s="463">
        <v>0</v>
      </c>
      <c r="J50" s="456">
        <v>0</v>
      </c>
    </row>
    <row r="51" spans="2:10" ht="16.5" customHeight="1" x14ac:dyDescent="0.2">
      <c r="B51" s="460" t="s">
        <v>22</v>
      </c>
      <c r="C51" s="460">
        <f>SUM(C45:C50)</f>
        <v>13</v>
      </c>
      <c r="D51" s="460">
        <f>SUM(D45:D50)</f>
        <v>184495</v>
      </c>
      <c r="E51" s="460">
        <f t="shared" ref="E51:J51" si="4">SUM(E45:E50)</f>
        <v>3644</v>
      </c>
      <c r="F51" s="460">
        <f t="shared" si="4"/>
        <v>50328</v>
      </c>
      <c r="G51" s="460">
        <f t="shared" si="4"/>
        <v>53668</v>
      </c>
      <c r="H51" s="460">
        <f t="shared" si="4"/>
        <v>19</v>
      </c>
      <c r="I51" s="460">
        <f t="shared" si="4"/>
        <v>13</v>
      </c>
      <c r="J51" s="460">
        <f t="shared" si="4"/>
        <v>13</v>
      </c>
    </row>
    <row r="54" spans="2:10" x14ac:dyDescent="0.2">
      <c r="B54" s="423"/>
      <c r="C54" s="443"/>
      <c r="D54" s="423"/>
      <c r="E54" s="443"/>
      <c r="F54" s="443"/>
      <c r="G54" s="443"/>
      <c r="H54" s="423"/>
      <c r="I54" s="423"/>
      <c r="J54" s="423"/>
    </row>
    <row r="55" spans="2:10" x14ac:dyDescent="0.2">
      <c r="B55" s="423"/>
      <c r="C55" s="443"/>
      <c r="D55" s="423"/>
      <c r="E55" s="443"/>
      <c r="F55" s="443"/>
      <c r="G55" s="443"/>
      <c r="H55" s="423"/>
      <c r="I55" s="423"/>
      <c r="J55" s="423"/>
    </row>
    <row r="56" spans="2:10" x14ac:dyDescent="0.2">
      <c r="B56" s="423"/>
      <c r="C56" s="443"/>
      <c r="D56" s="423"/>
      <c r="E56" s="443"/>
      <c r="F56" s="443"/>
      <c r="G56" s="443"/>
      <c r="H56" s="423"/>
      <c r="I56" s="423"/>
      <c r="J56" s="423"/>
    </row>
    <row r="57" spans="2:10" x14ac:dyDescent="0.2">
      <c r="B57" s="423"/>
      <c r="C57" s="443"/>
      <c r="D57" s="423"/>
      <c r="E57" s="443"/>
      <c r="F57" s="443"/>
      <c r="G57" s="443"/>
      <c r="H57" s="423"/>
      <c r="I57" s="423"/>
      <c r="J57" s="423"/>
    </row>
    <row r="58" spans="2:10" x14ac:dyDescent="0.2">
      <c r="B58" s="423"/>
      <c r="C58" s="443"/>
      <c r="D58" s="423"/>
      <c r="E58" s="443"/>
      <c r="F58" s="443"/>
      <c r="G58" s="443"/>
      <c r="H58" s="423"/>
      <c r="I58" s="423"/>
      <c r="J58" s="423"/>
    </row>
    <row r="59" spans="2:10" x14ac:dyDescent="0.2">
      <c r="B59" s="423"/>
      <c r="C59" s="443"/>
      <c r="D59" s="423"/>
      <c r="E59" s="443"/>
      <c r="F59" s="443"/>
      <c r="G59" s="443"/>
      <c r="H59" s="423"/>
      <c r="I59" s="423"/>
      <c r="J59" s="423"/>
    </row>
    <row r="60" spans="2:10" x14ac:dyDescent="0.2">
      <c r="B60" s="423"/>
      <c r="C60" s="443"/>
      <c r="D60" s="423"/>
      <c r="E60" s="443"/>
      <c r="F60" s="443"/>
      <c r="G60" s="443"/>
      <c r="H60" s="423"/>
      <c r="I60" s="423"/>
      <c r="J60" s="423"/>
    </row>
    <row r="61" spans="2:10" x14ac:dyDescent="0.2">
      <c r="B61" s="423"/>
      <c r="C61" s="443"/>
      <c r="D61" s="423"/>
      <c r="E61" s="443"/>
      <c r="F61" s="443"/>
      <c r="G61" s="443"/>
      <c r="H61" s="423"/>
      <c r="I61" s="423"/>
      <c r="J61" s="423"/>
    </row>
    <row r="62" spans="2:10" x14ac:dyDescent="0.2">
      <c r="B62" s="423"/>
      <c r="C62" s="443"/>
      <c r="D62" s="423"/>
      <c r="E62" s="443"/>
      <c r="F62" s="443"/>
      <c r="G62" s="443"/>
      <c r="H62" s="423"/>
      <c r="I62" s="423"/>
      <c r="J62" s="423"/>
    </row>
    <row r="63" spans="2:10" x14ac:dyDescent="0.2">
      <c r="B63" s="443"/>
      <c r="C63" s="443"/>
      <c r="D63" s="423"/>
      <c r="E63" s="443"/>
      <c r="F63" s="443"/>
      <c r="G63" s="443"/>
      <c r="H63" s="423"/>
      <c r="I63" s="423"/>
      <c r="J63" s="423"/>
    </row>
    <row r="64" spans="2:10" x14ac:dyDescent="0.2">
      <c r="B64" s="443"/>
      <c r="C64" s="443"/>
      <c r="D64" s="423"/>
      <c r="E64" s="443"/>
      <c r="F64" s="443"/>
      <c r="G64" s="443"/>
      <c r="H64" s="423"/>
      <c r="I64" s="423"/>
      <c r="J64" s="423"/>
    </row>
    <row r="65" spans="2:12" x14ac:dyDescent="0.2">
      <c r="B65" s="443"/>
      <c r="C65" s="443"/>
      <c r="D65" s="423"/>
      <c r="E65" s="443"/>
      <c r="F65" s="443"/>
      <c r="G65" s="443"/>
      <c r="H65" s="423"/>
      <c r="I65" s="423"/>
      <c r="J65" s="423"/>
    </row>
    <row r="66" spans="2:12" x14ac:dyDescent="0.2">
      <c r="B66" s="443"/>
      <c r="C66" s="443"/>
      <c r="D66" s="423"/>
      <c r="E66" s="443"/>
      <c r="F66" s="443"/>
      <c r="G66" s="443"/>
      <c r="H66" s="423"/>
      <c r="I66" s="423"/>
      <c r="J66" s="423"/>
    </row>
    <row r="67" spans="2:12" x14ac:dyDescent="0.2">
      <c r="B67" s="443"/>
      <c r="C67" s="443"/>
      <c r="D67" s="423"/>
      <c r="E67" s="443"/>
      <c r="F67" s="443"/>
      <c r="G67" s="443"/>
      <c r="H67" s="423"/>
      <c r="I67" s="423"/>
      <c r="J67" s="423"/>
    </row>
    <row r="68" spans="2:12" s="175" customFormat="1" ht="15.75" x14ac:dyDescent="0.25">
      <c r="B68" s="1006"/>
      <c r="C68" s="1006"/>
      <c r="D68" s="1006"/>
      <c r="E68" s="1006"/>
      <c r="F68" s="1006"/>
      <c r="G68" s="1006"/>
      <c r="H68" s="1006"/>
      <c r="I68" s="1006"/>
      <c r="J68" s="1006"/>
    </row>
    <row r="69" spans="2:12" s="425" customFormat="1" ht="11.25" x14ac:dyDescent="0.2">
      <c r="B69" s="968" t="s">
        <v>84</v>
      </c>
      <c r="C69" s="968" t="s">
        <v>85</v>
      </c>
      <c r="D69" s="968" t="s">
        <v>67</v>
      </c>
      <c r="E69" s="968" t="s">
        <v>68</v>
      </c>
      <c r="F69" s="968" t="s">
        <v>69</v>
      </c>
      <c r="G69" s="968" t="s">
        <v>70</v>
      </c>
      <c r="H69" s="968" t="s">
        <v>222</v>
      </c>
      <c r="I69" s="1001" t="s">
        <v>223</v>
      </c>
      <c r="J69" s="1002"/>
      <c r="K69" s="424"/>
      <c r="L69" s="424"/>
    </row>
    <row r="70" spans="2:12" s="425" customFormat="1" ht="11.25" x14ac:dyDescent="0.2">
      <c r="B70" s="969"/>
      <c r="C70" s="969"/>
      <c r="D70" s="969"/>
      <c r="E70" s="969"/>
      <c r="F70" s="969"/>
      <c r="G70" s="969"/>
      <c r="H70" s="969"/>
      <c r="I70" s="1003"/>
      <c r="J70" s="1004"/>
      <c r="K70" s="424"/>
      <c r="L70" s="424"/>
    </row>
    <row r="71" spans="2:12" s="425" customFormat="1" ht="11.25" x14ac:dyDescent="0.2">
      <c r="B71" s="970"/>
      <c r="C71" s="970"/>
      <c r="D71" s="970"/>
      <c r="E71" s="970"/>
      <c r="F71" s="970"/>
      <c r="G71" s="970"/>
      <c r="H71" s="970"/>
      <c r="I71" s="426" t="s">
        <v>73</v>
      </c>
      <c r="J71" s="427" t="s">
        <v>86</v>
      </c>
      <c r="K71" s="424"/>
      <c r="L71" s="424"/>
    </row>
    <row r="72" spans="2:12" x14ac:dyDescent="0.2">
      <c r="B72" s="467">
        <v>1</v>
      </c>
      <c r="C72" s="256">
        <v>2</v>
      </c>
      <c r="D72" s="256">
        <v>3</v>
      </c>
      <c r="E72" s="459">
        <v>4</v>
      </c>
      <c r="F72" s="459">
        <v>5</v>
      </c>
      <c r="G72" s="459">
        <v>6</v>
      </c>
      <c r="H72" s="256">
        <v>7</v>
      </c>
      <c r="I72" s="256">
        <v>8</v>
      </c>
      <c r="J72" s="454">
        <v>9</v>
      </c>
      <c r="K72" s="437"/>
      <c r="L72" s="437"/>
    </row>
    <row r="73" spans="2:12" x14ac:dyDescent="0.2">
      <c r="B73" s="441" t="s">
        <v>155</v>
      </c>
      <c r="C73" s="468"/>
      <c r="D73" s="468"/>
      <c r="E73" s="469"/>
      <c r="F73" s="469"/>
      <c r="G73" s="469"/>
      <c r="H73" s="468"/>
      <c r="I73" s="468"/>
      <c r="J73" s="454"/>
      <c r="K73" s="437"/>
      <c r="L73" s="437"/>
    </row>
    <row r="74" spans="2:12" x14ac:dyDescent="0.2">
      <c r="B74" s="430" t="s">
        <v>199</v>
      </c>
      <c r="C74" s="256">
        <v>2</v>
      </c>
      <c r="D74" s="256">
        <v>8767</v>
      </c>
      <c r="E74" s="459">
        <v>169</v>
      </c>
      <c r="F74" s="459">
        <v>1179</v>
      </c>
      <c r="G74" s="459">
        <v>821</v>
      </c>
      <c r="H74" s="256">
        <v>2</v>
      </c>
      <c r="I74" s="256">
        <v>2</v>
      </c>
      <c r="J74" s="456">
        <v>2</v>
      </c>
      <c r="K74" s="437"/>
      <c r="L74" s="437"/>
    </row>
    <row r="75" spans="2:12" x14ac:dyDescent="0.2">
      <c r="B75" s="430" t="s">
        <v>200</v>
      </c>
      <c r="C75" s="256">
        <v>3</v>
      </c>
      <c r="D75" s="256">
        <v>36373</v>
      </c>
      <c r="E75" s="459">
        <v>719</v>
      </c>
      <c r="F75" s="459">
        <v>7849</v>
      </c>
      <c r="G75" s="459">
        <v>6294</v>
      </c>
      <c r="H75" s="256">
        <v>4</v>
      </c>
      <c r="I75" s="256">
        <v>3</v>
      </c>
      <c r="J75" s="456">
        <v>3</v>
      </c>
      <c r="K75" s="437"/>
      <c r="L75" s="437"/>
    </row>
    <row r="76" spans="2:12" x14ac:dyDescent="0.2">
      <c r="B76" s="455" t="s">
        <v>201</v>
      </c>
      <c r="C76" s="256">
        <v>1</v>
      </c>
      <c r="D76" s="256">
        <v>9889</v>
      </c>
      <c r="E76" s="459">
        <v>315</v>
      </c>
      <c r="F76" s="459">
        <v>2809</v>
      </c>
      <c r="G76" s="459">
        <v>3985</v>
      </c>
      <c r="H76" s="256">
        <v>1</v>
      </c>
      <c r="I76" s="256">
        <v>1</v>
      </c>
      <c r="J76" s="456">
        <v>1</v>
      </c>
      <c r="K76" s="437"/>
      <c r="L76" s="437"/>
    </row>
    <row r="77" spans="2:12" x14ac:dyDescent="0.2">
      <c r="B77" s="455" t="s">
        <v>202</v>
      </c>
      <c r="C77" s="256">
        <v>4</v>
      </c>
      <c r="D77" s="256">
        <v>29299</v>
      </c>
      <c r="E77" s="459">
        <v>335</v>
      </c>
      <c r="F77" s="459">
        <v>1230</v>
      </c>
      <c r="G77" s="459">
        <v>4357</v>
      </c>
      <c r="H77" s="256">
        <v>3</v>
      </c>
      <c r="I77" s="256">
        <v>4</v>
      </c>
      <c r="J77" s="456">
        <v>4</v>
      </c>
      <c r="K77" s="437"/>
      <c r="L77" s="437"/>
    </row>
    <row r="78" spans="2:12" x14ac:dyDescent="0.2">
      <c r="B78" s="455" t="s">
        <v>203</v>
      </c>
      <c r="C78" s="256">
        <v>3</v>
      </c>
      <c r="D78" s="256">
        <v>23058</v>
      </c>
      <c r="E78" s="459">
        <v>689</v>
      </c>
      <c r="F78" s="459">
        <v>8093</v>
      </c>
      <c r="G78" s="459">
        <v>5324</v>
      </c>
      <c r="H78" s="256">
        <v>4</v>
      </c>
      <c r="I78" s="256">
        <v>3</v>
      </c>
      <c r="J78" s="456">
        <v>3</v>
      </c>
      <c r="K78" s="437"/>
      <c r="L78" s="437"/>
    </row>
    <row r="79" spans="2:12" x14ac:dyDescent="0.2">
      <c r="B79" s="455" t="s">
        <v>104</v>
      </c>
      <c r="C79" s="256">
        <v>3</v>
      </c>
      <c r="D79" s="256">
        <v>21722</v>
      </c>
      <c r="E79" s="459">
        <v>558</v>
      </c>
      <c r="F79" s="459">
        <v>6308</v>
      </c>
      <c r="G79" s="459">
        <v>6619</v>
      </c>
      <c r="H79" s="256">
        <v>4</v>
      </c>
      <c r="I79" s="256">
        <v>3</v>
      </c>
      <c r="J79" s="456">
        <v>3</v>
      </c>
      <c r="K79" s="437"/>
      <c r="L79" s="437"/>
    </row>
    <row r="80" spans="2:12" x14ac:dyDescent="0.2">
      <c r="B80" s="432" t="s">
        <v>204</v>
      </c>
      <c r="C80" s="459">
        <v>7</v>
      </c>
      <c r="D80" s="459">
        <v>37818</v>
      </c>
      <c r="E80" s="459">
        <v>1878</v>
      </c>
      <c r="F80" s="459">
        <v>11901</v>
      </c>
      <c r="G80" s="459">
        <v>7770</v>
      </c>
      <c r="H80" s="459">
        <v>8</v>
      </c>
      <c r="I80" s="459">
        <v>7</v>
      </c>
      <c r="J80" s="470">
        <v>7</v>
      </c>
      <c r="K80" s="437"/>
      <c r="L80" s="437"/>
    </row>
    <row r="81" spans="1:12" ht="15" customHeight="1" x14ac:dyDescent="0.2">
      <c r="B81" s="434" t="s">
        <v>22</v>
      </c>
      <c r="C81" s="434">
        <f>SUM(C74:C80)</f>
        <v>23</v>
      </c>
      <c r="D81" s="434">
        <f>SUM(D74:D80)</f>
        <v>166926</v>
      </c>
      <c r="E81" s="434">
        <f t="shared" ref="E81:J81" si="5">SUM(E74:E80)</f>
        <v>4663</v>
      </c>
      <c r="F81" s="434">
        <f t="shared" si="5"/>
        <v>39369</v>
      </c>
      <c r="G81" s="434">
        <f t="shared" si="5"/>
        <v>35170</v>
      </c>
      <c r="H81" s="434">
        <f t="shared" si="5"/>
        <v>26</v>
      </c>
      <c r="I81" s="434">
        <f t="shared" si="5"/>
        <v>23</v>
      </c>
      <c r="J81" s="434">
        <f t="shared" si="5"/>
        <v>23</v>
      </c>
      <c r="K81" s="437"/>
      <c r="L81" s="437"/>
    </row>
    <row r="82" spans="1:12" x14ac:dyDescent="0.2">
      <c r="A82" s="440"/>
      <c r="B82" s="428" t="s">
        <v>156</v>
      </c>
      <c r="C82" s="443"/>
      <c r="D82" s="423"/>
      <c r="E82" s="443"/>
      <c r="F82" s="443"/>
      <c r="G82" s="443"/>
      <c r="H82" s="423"/>
      <c r="I82" s="423"/>
      <c r="J82" s="431"/>
    </row>
    <row r="83" spans="1:12" x14ac:dyDescent="0.2">
      <c r="B83" s="430" t="s">
        <v>205</v>
      </c>
      <c r="C83" s="443">
        <v>6</v>
      </c>
      <c r="D83" s="423">
        <v>34494</v>
      </c>
      <c r="E83" s="443">
        <v>387</v>
      </c>
      <c r="F83" s="443">
        <v>3955</v>
      </c>
      <c r="G83" s="443">
        <v>6963</v>
      </c>
      <c r="H83" s="423">
        <v>4</v>
      </c>
      <c r="I83" s="423">
        <v>4</v>
      </c>
      <c r="J83" s="431">
        <v>4</v>
      </c>
    </row>
    <row r="84" spans="1:12" x14ac:dyDescent="0.2">
      <c r="B84" s="430" t="s">
        <v>106</v>
      </c>
      <c r="C84" s="443">
        <v>0</v>
      </c>
      <c r="D84" s="443">
        <v>0</v>
      </c>
      <c r="E84" s="443">
        <v>0</v>
      </c>
      <c r="F84" s="443">
        <v>0</v>
      </c>
      <c r="G84" s="443">
        <v>0</v>
      </c>
      <c r="H84" s="443">
        <v>0</v>
      </c>
      <c r="I84" s="443">
        <v>0</v>
      </c>
      <c r="J84" s="471">
        <v>0</v>
      </c>
    </row>
    <row r="85" spans="1:12" x14ac:dyDescent="0.2">
      <c r="B85" s="430" t="s">
        <v>206</v>
      </c>
      <c r="C85" s="443">
        <v>0</v>
      </c>
      <c r="D85" s="443">
        <v>0</v>
      </c>
      <c r="E85" s="443">
        <v>0</v>
      </c>
      <c r="F85" s="443">
        <v>0</v>
      </c>
      <c r="G85" s="443">
        <v>0</v>
      </c>
      <c r="H85" s="443">
        <v>0</v>
      </c>
      <c r="I85" s="443">
        <v>0</v>
      </c>
      <c r="J85" s="471">
        <v>0</v>
      </c>
    </row>
    <row r="86" spans="1:12" x14ac:dyDescent="0.2">
      <c r="B86" s="430" t="s">
        <v>207</v>
      </c>
      <c r="C86" s="443">
        <v>2</v>
      </c>
      <c r="D86" s="453">
        <v>41913</v>
      </c>
      <c r="E86" s="443">
        <v>706</v>
      </c>
      <c r="F86" s="443">
        <v>3499</v>
      </c>
      <c r="G86" s="443">
        <v>4257</v>
      </c>
      <c r="H86" s="423">
        <v>3</v>
      </c>
      <c r="I86" s="423">
        <v>2</v>
      </c>
      <c r="J86" s="431">
        <v>2</v>
      </c>
    </row>
    <row r="87" spans="1:12" ht="14.25" customHeight="1" x14ac:dyDescent="0.2">
      <c r="B87" s="434" t="s">
        <v>22</v>
      </c>
      <c r="C87" s="434">
        <f>SUM(C83:C86)</f>
        <v>8</v>
      </c>
      <c r="D87" s="434">
        <f>SUM(D83:D86)</f>
        <v>76407</v>
      </c>
      <c r="E87" s="434">
        <f t="shared" ref="E87:J87" si="6">SUM(E83:E86)</f>
        <v>1093</v>
      </c>
      <c r="F87" s="434">
        <f t="shared" si="6"/>
        <v>7454</v>
      </c>
      <c r="G87" s="434">
        <f t="shared" si="6"/>
        <v>11220</v>
      </c>
      <c r="H87" s="434">
        <f t="shared" si="6"/>
        <v>7</v>
      </c>
      <c r="I87" s="434">
        <f t="shared" si="6"/>
        <v>6</v>
      </c>
      <c r="J87" s="434">
        <f t="shared" si="6"/>
        <v>6</v>
      </c>
    </row>
    <row r="88" spans="1:12" x14ac:dyDescent="0.2">
      <c r="A88" s="440"/>
      <c r="B88" s="441" t="s">
        <v>157</v>
      </c>
      <c r="C88" s="443"/>
      <c r="D88" s="423"/>
      <c r="E88" s="443"/>
      <c r="F88" s="443"/>
      <c r="G88" s="443"/>
      <c r="H88" s="423"/>
      <c r="I88" s="423"/>
      <c r="J88" s="429"/>
    </row>
    <row r="89" spans="1:12" x14ac:dyDescent="0.2">
      <c r="B89" s="455" t="s">
        <v>208</v>
      </c>
      <c r="C89" s="256">
        <v>4</v>
      </c>
      <c r="D89" s="256">
        <v>31230</v>
      </c>
      <c r="E89" s="459">
        <v>606</v>
      </c>
      <c r="F89" s="459">
        <v>4266</v>
      </c>
      <c r="G89" s="459">
        <v>11771</v>
      </c>
      <c r="H89" s="256">
        <v>4</v>
      </c>
      <c r="I89" s="256">
        <v>4</v>
      </c>
      <c r="J89" s="456">
        <v>4</v>
      </c>
    </row>
    <row r="90" spans="1:12" x14ac:dyDescent="0.2">
      <c r="B90" s="455" t="s">
        <v>209</v>
      </c>
      <c r="C90" s="256">
        <v>4</v>
      </c>
      <c r="D90" s="256">
        <v>49102</v>
      </c>
      <c r="E90" s="459">
        <v>2011</v>
      </c>
      <c r="F90" s="459">
        <v>10993</v>
      </c>
      <c r="G90" s="459">
        <v>25976</v>
      </c>
      <c r="H90" s="256">
        <v>6</v>
      </c>
      <c r="I90" s="256">
        <v>4</v>
      </c>
      <c r="J90" s="456">
        <v>4</v>
      </c>
    </row>
    <row r="91" spans="1:12" x14ac:dyDescent="0.2">
      <c r="B91" s="455" t="s">
        <v>108</v>
      </c>
      <c r="C91" s="256">
        <v>0</v>
      </c>
      <c r="D91" s="256">
        <v>0</v>
      </c>
      <c r="E91" s="256">
        <v>0</v>
      </c>
      <c r="F91" s="256">
        <v>0</v>
      </c>
      <c r="G91" s="256">
        <v>0</v>
      </c>
      <c r="H91" s="256">
        <v>0</v>
      </c>
      <c r="I91" s="256">
        <v>0</v>
      </c>
      <c r="J91" s="456">
        <v>0</v>
      </c>
    </row>
    <row r="92" spans="1:12" x14ac:dyDescent="0.2">
      <c r="B92" s="457" t="s">
        <v>210</v>
      </c>
      <c r="C92" s="256">
        <v>1</v>
      </c>
      <c r="D92" s="256">
        <v>5061</v>
      </c>
      <c r="E92" s="459">
        <v>55</v>
      </c>
      <c r="F92" s="459">
        <v>183</v>
      </c>
      <c r="G92" s="459">
        <v>1613</v>
      </c>
      <c r="H92" s="256">
        <v>1</v>
      </c>
      <c r="I92" s="256">
        <v>1</v>
      </c>
      <c r="J92" s="458">
        <v>1</v>
      </c>
    </row>
    <row r="93" spans="1:12" ht="16.5" customHeight="1" x14ac:dyDescent="0.2">
      <c r="B93" s="434" t="s">
        <v>22</v>
      </c>
      <c r="C93" s="434">
        <f>SUM(C89:C92)</f>
        <v>9</v>
      </c>
      <c r="D93" s="434">
        <f>SUM(D89:D92)</f>
        <v>85393</v>
      </c>
      <c r="E93" s="434">
        <f t="shared" ref="E93:J93" si="7">SUM(E89:E92)</f>
        <v>2672</v>
      </c>
      <c r="F93" s="434">
        <f t="shared" si="7"/>
        <v>15442</v>
      </c>
      <c r="G93" s="434">
        <f t="shared" si="7"/>
        <v>39360</v>
      </c>
      <c r="H93" s="434">
        <f t="shared" si="7"/>
        <v>11</v>
      </c>
      <c r="I93" s="434">
        <f t="shared" si="7"/>
        <v>9</v>
      </c>
      <c r="J93" s="434">
        <f t="shared" si="7"/>
        <v>9</v>
      </c>
    </row>
    <row r="94" spans="1:12" x14ac:dyDescent="0.2">
      <c r="A94" s="440"/>
      <c r="B94" s="428" t="s">
        <v>158</v>
      </c>
      <c r="C94" s="443"/>
      <c r="D94" s="423"/>
      <c r="E94" s="443"/>
      <c r="F94" s="443"/>
      <c r="G94" s="443"/>
      <c r="H94" s="423"/>
      <c r="I94" s="423"/>
      <c r="J94" s="431"/>
    </row>
    <row r="95" spans="1:12" x14ac:dyDescent="0.2">
      <c r="B95" s="430" t="s">
        <v>211</v>
      </c>
      <c r="C95" s="443">
        <v>2</v>
      </c>
      <c r="D95" s="423">
        <v>22629</v>
      </c>
      <c r="E95" s="443">
        <v>569</v>
      </c>
      <c r="F95" s="443">
        <v>4524</v>
      </c>
      <c r="G95" s="443">
        <v>2666</v>
      </c>
      <c r="H95" s="423">
        <v>2</v>
      </c>
      <c r="I95" s="423">
        <v>2</v>
      </c>
      <c r="J95" s="431">
        <v>2</v>
      </c>
    </row>
    <row r="96" spans="1:12" x14ac:dyDescent="0.2">
      <c r="B96" s="430" t="s">
        <v>212</v>
      </c>
      <c r="C96" s="443">
        <v>0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31">
        <v>0</v>
      </c>
    </row>
    <row r="97" spans="1:10" x14ac:dyDescent="0.2">
      <c r="B97" s="430" t="s">
        <v>213</v>
      </c>
      <c r="C97" s="443">
        <v>0</v>
      </c>
      <c r="D97" s="423">
        <v>0</v>
      </c>
      <c r="E97" s="443">
        <v>0</v>
      </c>
      <c r="F97" s="443">
        <v>0</v>
      </c>
      <c r="G97" s="443">
        <v>0</v>
      </c>
      <c r="H97" s="423">
        <v>0</v>
      </c>
      <c r="I97" s="423">
        <v>0</v>
      </c>
      <c r="J97" s="431">
        <v>0</v>
      </c>
    </row>
    <row r="98" spans="1:10" x14ac:dyDescent="0.2">
      <c r="B98" s="430" t="s">
        <v>214</v>
      </c>
      <c r="C98" s="443">
        <v>0</v>
      </c>
      <c r="D98" s="443">
        <v>0</v>
      </c>
      <c r="E98" s="443">
        <v>0</v>
      </c>
      <c r="F98" s="443">
        <v>0</v>
      </c>
      <c r="G98" s="443">
        <v>0</v>
      </c>
      <c r="H98" s="443">
        <v>0</v>
      </c>
      <c r="I98" s="443">
        <v>0</v>
      </c>
      <c r="J98" s="471">
        <v>0</v>
      </c>
    </row>
    <row r="99" spans="1:10" x14ac:dyDescent="0.2">
      <c r="B99" s="430" t="s">
        <v>110</v>
      </c>
      <c r="C99" s="443">
        <v>1</v>
      </c>
      <c r="D99" s="423">
        <v>7800</v>
      </c>
      <c r="E99" s="443">
        <v>335</v>
      </c>
      <c r="F99" s="443">
        <v>5813</v>
      </c>
      <c r="G99" s="443">
        <v>4500</v>
      </c>
      <c r="H99" s="423">
        <v>1</v>
      </c>
      <c r="I99" s="423">
        <v>1</v>
      </c>
      <c r="J99" s="431">
        <v>1</v>
      </c>
    </row>
    <row r="100" spans="1:10" x14ac:dyDescent="0.2">
      <c r="B100" s="430" t="s">
        <v>215</v>
      </c>
      <c r="C100" s="443">
        <v>2</v>
      </c>
      <c r="D100" s="423">
        <v>11620</v>
      </c>
      <c r="E100" s="443">
        <v>121</v>
      </c>
      <c r="F100" s="443">
        <v>194</v>
      </c>
      <c r="G100" s="443">
        <v>460</v>
      </c>
      <c r="H100" s="423">
        <v>1</v>
      </c>
      <c r="I100" s="423">
        <v>1</v>
      </c>
      <c r="J100" s="431">
        <v>1</v>
      </c>
    </row>
    <row r="101" spans="1:10" ht="14.25" customHeight="1" x14ac:dyDescent="0.2">
      <c r="B101" s="434" t="s">
        <v>22</v>
      </c>
      <c r="C101" s="434">
        <f>SUM(C95:C100)</f>
        <v>5</v>
      </c>
      <c r="D101" s="434">
        <f>SUM(D95:D100)</f>
        <v>42049</v>
      </c>
      <c r="E101" s="434">
        <f t="shared" ref="E101:J101" si="8">SUM(E95:E100)</f>
        <v>1025</v>
      </c>
      <c r="F101" s="434">
        <f t="shared" si="8"/>
        <v>10531</v>
      </c>
      <c r="G101" s="434">
        <f t="shared" si="8"/>
        <v>7626</v>
      </c>
      <c r="H101" s="434">
        <f t="shared" si="8"/>
        <v>4</v>
      </c>
      <c r="I101" s="434">
        <f t="shared" si="8"/>
        <v>4</v>
      </c>
      <c r="J101" s="434">
        <f t="shared" si="8"/>
        <v>4</v>
      </c>
    </row>
    <row r="102" spans="1:10" x14ac:dyDescent="0.2">
      <c r="A102" s="440"/>
      <c r="B102" s="428" t="s">
        <v>159</v>
      </c>
      <c r="C102" s="443"/>
      <c r="D102" s="423"/>
      <c r="E102" s="443"/>
      <c r="F102" s="443"/>
      <c r="G102" s="443"/>
      <c r="H102" s="423"/>
      <c r="I102" s="423"/>
      <c r="J102" s="431"/>
    </row>
    <row r="103" spans="1:10" x14ac:dyDescent="0.2">
      <c r="B103" s="430" t="s">
        <v>112</v>
      </c>
      <c r="C103" s="443">
        <v>0</v>
      </c>
      <c r="D103" s="443">
        <v>0</v>
      </c>
      <c r="E103" s="443">
        <v>0</v>
      </c>
      <c r="F103" s="443">
        <v>0</v>
      </c>
      <c r="G103" s="443">
        <v>0</v>
      </c>
      <c r="H103" s="443">
        <v>0</v>
      </c>
      <c r="I103" s="443">
        <v>0</v>
      </c>
      <c r="J103" s="471">
        <v>0</v>
      </c>
    </row>
    <row r="104" spans="1:10" x14ac:dyDescent="0.2">
      <c r="B104" s="430" t="s">
        <v>216</v>
      </c>
      <c r="C104" s="443">
        <v>3</v>
      </c>
      <c r="D104" s="423">
        <v>10041</v>
      </c>
      <c r="E104" s="443">
        <v>178</v>
      </c>
      <c r="F104" s="443">
        <v>3295</v>
      </c>
      <c r="G104" s="443">
        <v>3024</v>
      </c>
      <c r="H104" s="423">
        <v>2</v>
      </c>
      <c r="I104" s="423">
        <v>2</v>
      </c>
      <c r="J104" s="431">
        <v>2</v>
      </c>
    </row>
    <row r="105" spans="1:10" x14ac:dyDescent="0.2">
      <c r="B105" s="430" t="s">
        <v>217</v>
      </c>
      <c r="C105" s="443">
        <v>0</v>
      </c>
      <c r="D105" s="443">
        <v>0</v>
      </c>
      <c r="E105" s="443">
        <v>0</v>
      </c>
      <c r="F105" s="443">
        <v>0</v>
      </c>
      <c r="G105" s="443">
        <v>0</v>
      </c>
      <c r="H105" s="443">
        <v>0</v>
      </c>
      <c r="I105" s="443">
        <v>0</v>
      </c>
      <c r="J105" s="471">
        <v>0</v>
      </c>
    </row>
    <row r="106" spans="1:10" x14ac:dyDescent="0.2">
      <c r="B106" s="430" t="s">
        <v>218</v>
      </c>
      <c r="C106" s="443">
        <v>0</v>
      </c>
      <c r="D106" s="443">
        <v>0</v>
      </c>
      <c r="E106" s="443">
        <v>0</v>
      </c>
      <c r="F106" s="443">
        <v>0</v>
      </c>
      <c r="G106" s="443">
        <v>0</v>
      </c>
      <c r="H106" s="443">
        <v>0</v>
      </c>
      <c r="I106" s="443">
        <v>0</v>
      </c>
      <c r="J106" s="471">
        <v>0</v>
      </c>
    </row>
    <row r="107" spans="1:10" x14ac:dyDescent="0.2">
      <c r="B107" s="430" t="s">
        <v>219</v>
      </c>
      <c r="C107" s="443">
        <v>2</v>
      </c>
      <c r="D107" s="423">
        <v>14675</v>
      </c>
      <c r="E107" s="443">
        <v>141</v>
      </c>
      <c r="F107" s="443">
        <v>350</v>
      </c>
      <c r="G107" s="443">
        <v>771</v>
      </c>
      <c r="H107" s="423">
        <v>3</v>
      </c>
      <c r="I107" s="423">
        <v>1</v>
      </c>
      <c r="J107" s="431">
        <v>1</v>
      </c>
    </row>
    <row r="108" spans="1:10" x14ac:dyDescent="0.2">
      <c r="B108" s="430" t="s">
        <v>220</v>
      </c>
      <c r="C108" s="443">
        <v>4</v>
      </c>
      <c r="D108" s="423">
        <v>46011</v>
      </c>
      <c r="E108" s="443">
        <v>1427</v>
      </c>
      <c r="F108" s="443">
        <v>9340</v>
      </c>
      <c r="G108" s="443">
        <v>8505</v>
      </c>
      <c r="H108" s="423">
        <v>4</v>
      </c>
      <c r="I108" s="423">
        <v>4</v>
      </c>
      <c r="J108" s="431">
        <v>4</v>
      </c>
    </row>
    <row r="109" spans="1:10" x14ac:dyDescent="0.2">
      <c r="B109" s="430" t="s">
        <v>113</v>
      </c>
      <c r="C109" s="443">
        <v>18</v>
      </c>
      <c r="D109" s="423">
        <v>128796</v>
      </c>
      <c r="E109" s="443">
        <v>6496</v>
      </c>
      <c r="F109" s="443">
        <v>53561</v>
      </c>
      <c r="G109" s="443">
        <v>65690</v>
      </c>
      <c r="H109" s="443">
        <v>21</v>
      </c>
      <c r="I109" s="443">
        <v>17</v>
      </c>
      <c r="J109" s="471">
        <v>17</v>
      </c>
    </row>
    <row r="110" spans="1:10" x14ac:dyDescent="0.2">
      <c r="B110" s="430" t="s">
        <v>221</v>
      </c>
      <c r="C110" s="443">
        <v>7</v>
      </c>
      <c r="D110" s="423">
        <v>31569</v>
      </c>
      <c r="E110" s="443">
        <v>663</v>
      </c>
      <c r="F110" s="443">
        <v>3715</v>
      </c>
      <c r="G110" s="443">
        <v>4242</v>
      </c>
      <c r="H110" s="423">
        <v>11</v>
      </c>
      <c r="I110" s="423">
        <v>7</v>
      </c>
      <c r="J110" s="431">
        <v>7</v>
      </c>
    </row>
    <row r="111" spans="1:10" ht="14.25" customHeight="1" x14ac:dyDescent="0.2">
      <c r="B111" s="434" t="s">
        <v>22</v>
      </c>
      <c r="C111" s="434">
        <f>SUM(C103:C110)</f>
        <v>34</v>
      </c>
      <c r="D111" s="434">
        <f>SUM(D103:D110)</f>
        <v>231092</v>
      </c>
      <c r="E111" s="434">
        <f t="shared" ref="E111:J111" si="9">SUM(E103:E110)</f>
        <v>8905</v>
      </c>
      <c r="F111" s="434">
        <f t="shared" si="9"/>
        <v>70261</v>
      </c>
      <c r="G111" s="434">
        <f t="shared" si="9"/>
        <v>82232</v>
      </c>
      <c r="H111" s="434">
        <f t="shared" si="9"/>
        <v>41</v>
      </c>
      <c r="I111" s="434">
        <f t="shared" si="9"/>
        <v>31</v>
      </c>
      <c r="J111" s="434">
        <f t="shared" si="9"/>
        <v>31</v>
      </c>
    </row>
    <row r="112" spans="1:10" ht="18" customHeight="1" x14ac:dyDescent="0.2">
      <c r="B112" s="447" t="s">
        <v>115</v>
      </c>
      <c r="C112" s="447">
        <f t="shared" ref="C112:J112" si="10">C17+C27+C36+C43+C51+C81+C87+C93+C101+C111</f>
        <v>173</v>
      </c>
      <c r="D112" s="447">
        <f t="shared" si="10"/>
        <v>1557295</v>
      </c>
      <c r="E112" s="447">
        <f t="shared" si="10"/>
        <v>42008</v>
      </c>
      <c r="F112" s="447">
        <f t="shared" si="10"/>
        <v>395976</v>
      </c>
      <c r="G112" s="447">
        <f t="shared" si="10"/>
        <v>488895</v>
      </c>
      <c r="H112" s="447">
        <f t="shared" si="10"/>
        <v>205</v>
      </c>
      <c r="I112" s="447">
        <f t="shared" si="10"/>
        <v>162</v>
      </c>
      <c r="J112" s="447">
        <f t="shared" si="10"/>
        <v>162</v>
      </c>
    </row>
    <row r="113" spans="2:12" x14ac:dyDescent="0.2">
      <c r="B113" s="440"/>
    </row>
    <row r="114" spans="2:12" x14ac:dyDescent="0.2">
      <c r="B114" s="440"/>
      <c r="C114" s="443"/>
      <c r="D114" s="351"/>
      <c r="E114" s="351"/>
      <c r="F114" s="351"/>
      <c r="G114" s="351"/>
      <c r="H114" s="351"/>
      <c r="I114" s="472"/>
      <c r="J114" s="472"/>
      <c r="K114" s="423"/>
      <c r="L114" s="423"/>
    </row>
    <row r="115" spans="2:12" x14ac:dyDescent="0.2">
      <c r="B115" s="440"/>
      <c r="H115" s="423"/>
      <c r="I115" s="423"/>
      <c r="J115" s="423"/>
      <c r="K115" s="423"/>
      <c r="L115" s="423"/>
    </row>
    <row r="116" spans="2:12" x14ac:dyDescent="0.2">
      <c r="B116" s="440"/>
      <c r="H116" s="423"/>
      <c r="I116" s="423"/>
      <c r="J116" s="423"/>
      <c r="K116" s="423"/>
      <c r="L116" s="423"/>
    </row>
    <row r="117" spans="2:12" x14ac:dyDescent="0.2">
      <c r="B117" s="440"/>
      <c r="H117" s="423"/>
      <c r="I117" s="423"/>
      <c r="J117" s="423"/>
      <c r="K117" s="423"/>
      <c r="L117" s="423"/>
    </row>
    <row r="118" spans="2:12" x14ac:dyDescent="0.2">
      <c r="B118" s="440"/>
    </row>
    <row r="119" spans="2:12" x14ac:dyDescent="0.2">
      <c r="B119" s="440"/>
    </row>
    <row r="120" spans="2:12" x14ac:dyDescent="0.2">
      <c r="B120" s="440"/>
    </row>
    <row r="121" spans="2:12" x14ac:dyDescent="0.2">
      <c r="B121" s="440"/>
    </row>
    <row r="122" spans="2:12" x14ac:dyDescent="0.2">
      <c r="B122" s="440"/>
    </row>
    <row r="123" spans="2:12" x14ac:dyDescent="0.2">
      <c r="B123" s="440"/>
    </row>
    <row r="124" spans="2:12" x14ac:dyDescent="0.2">
      <c r="B124" s="440"/>
    </row>
    <row r="125" spans="2:12" x14ac:dyDescent="0.2">
      <c r="B125" s="440"/>
    </row>
    <row r="126" spans="2:12" x14ac:dyDescent="0.2">
      <c r="B126" s="440"/>
    </row>
    <row r="127" spans="2:12" x14ac:dyDescent="0.2">
      <c r="B127" s="440"/>
    </row>
    <row r="128" spans="2:12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  <row r="173" spans="2:2" x14ac:dyDescent="0.2">
      <c r="B173" s="440"/>
    </row>
    <row r="174" spans="2:2" x14ac:dyDescent="0.2">
      <c r="B174" s="440"/>
    </row>
  </sheetData>
  <mergeCells count="21">
    <mergeCell ref="G69:G71"/>
    <mergeCell ref="H69:H71"/>
    <mergeCell ref="I69:J70"/>
    <mergeCell ref="H7:H9"/>
    <mergeCell ref="I7:J8"/>
    <mergeCell ref="B68:J68"/>
    <mergeCell ref="B69:B71"/>
    <mergeCell ref="C69:C71"/>
    <mergeCell ref="D69:D71"/>
    <mergeCell ref="E69:E71"/>
    <mergeCell ref="F69:F71"/>
    <mergeCell ref="B2:J2"/>
    <mergeCell ref="C3:H3"/>
    <mergeCell ref="I4:J4"/>
    <mergeCell ref="B5:J5"/>
    <mergeCell ref="B7:B9"/>
    <mergeCell ref="C7:C9"/>
    <mergeCell ref="D7:D9"/>
    <mergeCell ref="E7:E9"/>
    <mergeCell ref="F7:F9"/>
    <mergeCell ref="G7:G9"/>
  </mergeCells>
  <pageMargins left="1" right="0.75" top="1" bottom="1" header="0" footer="0"/>
  <pageSetup paperSize="9" scale="84" fitToHeight="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172"/>
  <sheetViews>
    <sheetView zoomScaleNormal="100" workbookViewId="0">
      <selection activeCell="J114" sqref="J114"/>
    </sheetView>
  </sheetViews>
  <sheetFormatPr defaultColWidth="9.140625" defaultRowHeight="12" x14ac:dyDescent="0.2"/>
  <cols>
    <col min="1" max="1" width="9.140625" style="161"/>
    <col min="2" max="2" width="1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5703125" style="161" customWidth="1"/>
    <col min="8" max="8" width="11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169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173"/>
      <c r="C3" s="173"/>
      <c r="D3" s="173"/>
      <c r="E3" s="173"/>
      <c r="F3" s="173"/>
      <c r="G3" s="173"/>
      <c r="H3" s="173"/>
      <c r="I3" s="173"/>
      <c r="J3" s="173"/>
    </row>
    <row r="4" spans="2:21" s="175" customFormat="1" ht="15.75" x14ac:dyDescent="0.25">
      <c r="B4" s="174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x14ac:dyDescent="0.2">
      <c r="B11" s="428" t="s">
        <v>151</v>
      </c>
      <c r="C11" s="423"/>
      <c r="D11" s="423"/>
      <c r="E11" s="423"/>
      <c r="F11" s="423"/>
      <c r="G11" s="423"/>
      <c r="H11" s="423"/>
      <c r="I11" s="423"/>
      <c r="J11" s="431"/>
    </row>
    <row r="12" spans="2:21" ht="12.75" x14ac:dyDescent="0.2">
      <c r="B12" s="430" t="s">
        <v>88</v>
      </c>
      <c r="C12" s="423">
        <v>2</v>
      </c>
      <c r="D12" s="443">
        <v>2489</v>
      </c>
      <c r="E12" s="423">
        <v>602</v>
      </c>
      <c r="F12" s="423">
        <v>2382</v>
      </c>
      <c r="G12" s="423">
        <v>2234</v>
      </c>
      <c r="H12" s="423">
        <v>2</v>
      </c>
      <c r="I12" s="423">
        <v>2</v>
      </c>
      <c r="J12" s="431">
        <v>2</v>
      </c>
      <c r="U12" s="376"/>
    </row>
    <row r="13" spans="2:21" ht="12.75" x14ac:dyDescent="0.2">
      <c r="B13" s="430" t="s">
        <v>179</v>
      </c>
      <c r="C13" s="423">
        <v>0</v>
      </c>
      <c r="D13" s="443">
        <v>0</v>
      </c>
      <c r="E13" s="423">
        <v>0</v>
      </c>
      <c r="F13" s="423">
        <v>0</v>
      </c>
      <c r="G13" s="423">
        <v>0</v>
      </c>
      <c r="H13" s="423">
        <v>0</v>
      </c>
      <c r="I13" s="423">
        <v>0</v>
      </c>
      <c r="J13" s="431">
        <v>0</v>
      </c>
      <c r="U13" s="376"/>
    </row>
    <row r="14" spans="2:21" ht="12.75" x14ac:dyDescent="0.2">
      <c r="B14" s="430" t="s">
        <v>89</v>
      </c>
      <c r="C14" s="423">
        <v>0</v>
      </c>
      <c r="D14" s="443">
        <v>0</v>
      </c>
      <c r="E14" s="423">
        <v>0</v>
      </c>
      <c r="F14" s="423">
        <v>0</v>
      </c>
      <c r="G14" s="423">
        <v>0</v>
      </c>
      <c r="H14" s="423">
        <v>0</v>
      </c>
      <c r="I14" s="423">
        <v>0</v>
      </c>
      <c r="J14" s="431">
        <v>0</v>
      </c>
      <c r="U14" s="376"/>
    </row>
    <row r="15" spans="2:21" x14ac:dyDescent="0.2">
      <c r="B15" s="430" t="s">
        <v>180</v>
      </c>
      <c r="C15" s="423">
        <v>2</v>
      </c>
      <c r="D15" s="443">
        <v>10535</v>
      </c>
      <c r="E15" s="423">
        <v>273</v>
      </c>
      <c r="F15" s="423">
        <v>1426</v>
      </c>
      <c r="G15" s="423">
        <v>1161</v>
      </c>
      <c r="H15" s="423">
        <v>2</v>
      </c>
      <c r="I15" s="423">
        <v>2</v>
      </c>
      <c r="J15" s="431">
        <v>2</v>
      </c>
    </row>
    <row r="16" spans="2:21" x14ac:dyDescent="0.2">
      <c r="B16" s="430" t="s">
        <v>181</v>
      </c>
      <c r="C16" s="423">
        <v>0</v>
      </c>
      <c r="D16" s="443">
        <v>0</v>
      </c>
      <c r="E16" s="423">
        <v>0</v>
      </c>
      <c r="F16" s="423">
        <v>0</v>
      </c>
      <c r="G16" s="423">
        <v>0</v>
      </c>
      <c r="H16" s="423">
        <v>0</v>
      </c>
      <c r="I16" s="423">
        <v>0</v>
      </c>
      <c r="J16" s="431">
        <v>0</v>
      </c>
    </row>
    <row r="17" spans="2:10" ht="14.25" customHeight="1" x14ac:dyDescent="0.2">
      <c r="B17" s="434" t="s">
        <v>22</v>
      </c>
      <c r="C17" s="434">
        <f>SUM(C12:C16)</f>
        <v>4</v>
      </c>
      <c r="D17" s="434">
        <f t="shared" ref="D17:J17" si="0">SUM(D12:D16)</f>
        <v>13024</v>
      </c>
      <c r="E17" s="434">
        <f>SUM(E11:E16)</f>
        <v>875</v>
      </c>
      <c r="F17" s="434">
        <f t="shared" si="0"/>
        <v>3808</v>
      </c>
      <c r="G17" s="434">
        <f t="shared" si="0"/>
        <v>3395</v>
      </c>
      <c r="H17" s="434">
        <f t="shared" si="0"/>
        <v>4</v>
      </c>
      <c r="I17" s="434">
        <f>SUM(I12:I16)</f>
        <v>4</v>
      </c>
      <c r="J17" s="434">
        <f t="shared" si="0"/>
        <v>4</v>
      </c>
    </row>
    <row r="18" spans="2:10" x14ac:dyDescent="0.2">
      <c r="B18" s="428" t="s">
        <v>152</v>
      </c>
      <c r="C18" s="423"/>
      <c r="D18" s="443"/>
      <c r="E18" s="423"/>
      <c r="F18" s="423"/>
      <c r="G18" s="423"/>
      <c r="H18" s="423"/>
      <c r="I18" s="423"/>
      <c r="J18" s="431"/>
    </row>
    <row r="19" spans="2:10" x14ac:dyDescent="0.2">
      <c r="B19" s="430" t="s">
        <v>91</v>
      </c>
      <c r="C19" s="423">
        <v>0</v>
      </c>
      <c r="D19" s="44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10" x14ac:dyDescent="0.2">
      <c r="B20" s="430" t="s">
        <v>182</v>
      </c>
      <c r="C20" s="423">
        <v>2</v>
      </c>
      <c r="D20" s="443">
        <v>10175</v>
      </c>
      <c r="E20" s="423">
        <v>455</v>
      </c>
      <c r="F20" s="423">
        <v>3860</v>
      </c>
      <c r="G20" s="423">
        <v>3293</v>
      </c>
      <c r="H20" s="423">
        <v>2</v>
      </c>
      <c r="I20" s="423">
        <v>2</v>
      </c>
      <c r="J20" s="431">
        <v>2</v>
      </c>
    </row>
    <row r="21" spans="2:10" x14ac:dyDescent="0.2">
      <c r="B21" s="430" t="s">
        <v>183</v>
      </c>
      <c r="C21" s="423">
        <v>1</v>
      </c>
      <c r="D21" s="443">
        <v>1720</v>
      </c>
      <c r="E21" s="423">
        <v>16</v>
      </c>
      <c r="F21" s="423">
        <v>1702</v>
      </c>
      <c r="G21" s="423">
        <v>1702</v>
      </c>
      <c r="H21" s="423">
        <v>1</v>
      </c>
      <c r="I21" s="423">
        <v>0</v>
      </c>
      <c r="J21" s="431">
        <v>0</v>
      </c>
    </row>
    <row r="22" spans="2:10" x14ac:dyDescent="0.2">
      <c r="B22" s="430" t="s">
        <v>92</v>
      </c>
      <c r="C22" s="423">
        <v>11</v>
      </c>
      <c r="D22" s="443">
        <v>32032</v>
      </c>
      <c r="E22" s="423">
        <v>2994</v>
      </c>
      <c r="F22" s="423">
        <v>27604</v>
      </c>
      <c r="G22" s="423">
        <v>21333</v>
      </c>
      <c r="H22" s="423">
        <v>13</v>
      </c>
      <c r="I22" s="423">
        <v>11</v>
      </c>
      <c r="J22" s="431">
        <v>11</v>
      </c>
    </row>
    <row r="23" spans="2:10" x14ac:dyDescent="0.2">
      <c r="B23" s="430" t="s">
        <v>184</v>
      </c>
      <c r="C23" s="423">
        <v>1</v>
      </c>
      <c r="D23" s="443">
        <v>1098</v>
      </c>
      <c r="E23" s="423">
        <v>310</v>
      </c>
      <c r="F23" s="423">
        <v>4136</v>
      </c>
      <c r="G23" s="423">
        <v>6128</v>
      </c>
      <c r="H23" s="423">
        <v>1</v>
      </c>
      <c r="I23" s="423">
        <v>1</v>
      </c>
      <c r="J23" s="431">
        <v>1</v>
      </c>
    </row>
    <row r="24" spans="2:10" x14ac:dyDescent="0.2">
      <c r="B24" s="430" t="s">
        <v>185</v>
      </c>
      <c r="C24" s="423">
        <v>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31">
        <v>0</v>
      </c>
    </row>
    <row r="25" spans="2:10" x14ac:dyDescent="0.2">
      <c r="B25" s="430" t="s">
        <v>186</v>
      </c>
      <c r="C25" s="423">
        <v>0</v>
      </c>
      <c r="D25" s="423">
        <v>0</v>
      </c>
      <c r="E25" s="423">
        <v>0</v>
      </c>
      <c r="F25" s="423">
        <v>0</v>
      </c>
      <c r="G25" s="423">
        <v>0</v>
      </c>
      <c r="H25" s="423">
        <v>0</v>
      </c>
      <c r="I25" s="423">
        <v>0</v>
      </c>
      <c r="J25" s="431">
        <v>0</v>
      </c>
    </row>
    <row r="26" spans="2:10" x14ac:dyDescent="0.2">
      <c r="B26" s="430" t="s">
        <v>187</v>
      </c>
      <c r="C26" s="423">
        <v>0</v>
      </c>
      <c r="D26" s="423">
        <v>0</v>
      </c>
      <c r="E26" s="423">
        <v>0</v>
      </c>
      <c r="F26" s="423">
        <v>0</v>
      </c>
      <c r="G26" s="423">
        <v>0</v>
      </c>
      <c r="H26" s="423">
        <v>0</v>
      </c>
      <c r="I26" s="423">
        <v>0</v>
      </c>
      <c r="J26" s="431">
        <v>0</v>
      </c>
    </row>
    <row r="27" spans="2:10" ht="15.75" customHeight="1" x14ac:dyDescent="0.2">
      <c r="B27" s="434" t="s">
        <v>22</v>
      </c>
      <c r="C27" s="434">
        <f>SUM(C19:C26)</f>
        <v>15</v>
      </c>
      <c r="D27" s="434">
        <f t="shared" ref="D27:J27" si="1">SUM(D19:D26)</f>
        <v>45025</v>
      </c>
      <c r="E27" s="434">
        <f>SUM(E18:E26)</f>
        <v>3775</v>
      </c>
      <c r="F27" s="434">
        <f t="shared" si="1"/>
        <v>37302</v>
      </c>
      <c r="G27" s="434">
        <f t="shared" si="1"/>
        <v>32456</v>
      </c>
      <c r="H27" s="434">
        <f t="shared" si="1"/>
        <v>17</v>
      </c>
      <c r="I27" s="434">
        <f t="shared" si="1"/>
        <v>14</v>
      </c>
      <c r="J27" s="434">
        <f t="shared" si="1"/>
        <v>14</v>
      </c>
    </row>
    <row r="28" spans="2:10" x14ac:dyDescent="0.2">
      <c r="B28" s="428" t="s">
        <v>153</v>
      </c>
      <c r="C28" s="423"/>
      <c r="D28" s="423"/>
      <c r="E28" s="423"/>
      <c r="F28" s="423"/>
      <c r="G28" s="423"/>
      <c r="H28" s="423"/>
      <c r="I28" s="423"/>
      <c r="J28" s="431"/>
    </row>
    <row r="29" spans="2:10" x14ac:dyDescent="0.2">
      <c r="B29" s="430" t="s">
        <v>94</v>
      </c>
      <c r="C29" s="423">
        <v>1</v>
      </c>
      <c r="D29" s="443">
        <v>2719</v>
      </c>
      <c r="E29" s="423">
        <v>490</v>
      </c>
      <c r="F29" s="423">
        <v>3368</v>
      </c>
      <c r="G29" s="423">
        <v>2367</v>
      </c>
      <c r="H29" s="423">
        <v>2</v>
      </c>
      <c r="I29" s="423">
        <v>1</v>
      </c>
      <c r="J29" s="431">
        <v>1</v>
      </c>
    </row>
    <row r="30" spans="2:10" x14ac:dyDescent="0.2">
      <c r="B30" s="430" t="s">
        <v>188</v>
      </c>
      <c r="C30" s="423">
        <v>1</v>
      </c>
      <c r="D30" s="443">
        <v>3896</v>
      </c>
      <c r="E30" s="423">
        <v>62</v>
      </c>
      <c r="F30" s="423">
        <v>3528</v>
      </c>
      <c r="G30" s="423">
        <v>2459</v>
      </c>
      <c r="H30" s="423">
        <v>1</v>
      </c>
      <c r="I30" s="423">
        <v>1</v>
      </c>
      <c r="J30" s="431">
        <v>1</v>
      </c>
    </row>
    <row r="31" spans="2:10" x14ac:dyDescent="0.2">
      <c r="B31" s="430" t="s">
        <v>189</v>
      </c>
      <c r="C31" s="423">
        <v>2</v>
      </c>
      <c r="D31" s="443">
        <v>3710</v>
      </c>
      <c r="E31" s="423">
        <v>202</v>
      </c>
      <c r="F31" s="423">
        <v>2160</v>
      </c>
      <c r="G31" s="423">
        <v>2679</v>
      </c>
      <c r="H31" s="423">
        <v>2</v>
      </c>
      <c r="I31" s="423">
        <v>2</v>
      </c>
      <c r="J31" s="431">
        <v>2</v>
      </c>
    </row>
    <row r="32" spans="2:10" x14ac:dyDescent="0.2">
      <c r="B32" s="430" t="s">
        <v>95</v>
      </c>
      <c r="C32" s="423">
        <v>0</v>
      </c>
      <c r="D32" s="44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31">
        <v>0</v>
      </c>
    </row>
    <row r="33" spans="2:10" x14ac:dyDescent="0.2">
      <c r="B33" s="430" t="s">
        <v>96</v>
      </c>
      <c r="C33" s="423">
        <v>1</v>
      </c>
      <c r="D33" s="443">
        <v>3142</v>
      </c>
      <c r="E33" s="423">
        <v>115</v>
      </c>
      <c r="F33" s="423">
        <v>840</v>
      </c>
      <c r="G33" s="423">
        <v>729</v>
      </c>
      <c r="H33" s="423">
        <v>1</v>
      </c>
      <c r="I33" s="423">
        <v>1</v>
      </c>
      <c r="J33" s="431">
        <v>1</v>
      </c>
    </row>
    <row r="34" spans="2:10" x14ac:dyDescent="0.2">
      <c r="B34" s="430" t="s">
        <v>190</v>
      </c>
      <c r="C34" s="423">
        <v>0</v>
      </c>
      <c r="D34" s="443">
        <v>0</v>
      </c>
      <c r="E34" s="423">
        <v>0</v>
      </c>
      <c r="F34" s="423">
        <v>0</v>
      </c>
      <c r="G34" s="423">
        <v>0</v>
      </c>
      <c r="H34" s="423">
        <v>0</v>
      </c>
      <c r="I34" s="423">
        <v>0</v>
      </c>
      <c r="J34" s="431">
        <v>0</v>
      </c>
    </row>
    <row r="35" spans="2:10" x14ac:dyDescent="0.2">
      <c r="B35" s="430" t="s">
        <v>191</v>
      </c>
      <c r="C35" s="423">
        <v>2</v>
      </c>
      <c r="D35" s="443">
        <v>10632</v>
      </c>
      <c r="E35" s="423">
        <v>456</v>
      </c>
      <c r="F35" s="423">
        <v>2562</v>
      </c>
      <c r="G35" s="423">
        <v>2155</v>
      </c>
      <c r="H35" s="423">
        <v>2</v>
      </c>
      <c r="I35" s="423">
        <v>2</v>
      </c>
      <c r="J35" s="433">
        <v>2</v>
      </c>
    </row>
    <row r="36" spans="2:10" ht="14.25" customHeight="1" x14ac:dyDescent="0.2">
      <c r="B36" s="434" t="s">
        <v>22</v>
      </c>
      <c r="C36" s="434">
        <f>SUM(C29:C35)</f>
        <v>7</v>
      </c>
      <c r="D36" s="434">
        <f t="shared" ref="D36:J36" si="2">SUM(D29:D35)</f>
        <v>24099</v>
      </c>
      <c r="E36" s="434">
        <f>SUM(E28:E35)</f>
        <v>1325</v>
      </c>
      <c r="F36" s="434">
        <f t="shared" si="2"/>
        <v>12458</v>
      </c>
      <c r="G36" s="434">
        <f t="shared" si="2"/>
        <v>10389</v>
      </c>
      <c r="H36" s="434">
        <f t="shared" si="2"/>
        <v>8</v>
      </c>
      <c r="I36" s="434">
        <f t="shared" si="2"/>
        <v>7</v>
      </c>
      <c r="J36" s="434">
        <f t="shared" si="2"/>
        <v>7</v>
      </c>
    </row>
    <row r="37" spans="2:10" x14ac:dyDescent="0.2">
      <c r="B37" s="428" t="s">
        <v>97</v>
      </c>
      <c r="C37" s="423"/>
      <c r="D37" s="423"/>
      <c r="E37" s="423"/>
      <c r="F37" s="423"/>
      <c r="G37" s="423"/>
      <c r="H37" s="423"/>
      <c r="I37" s="423"/>
      <c r="J37" s="431"/>
    </row>
    <row r="38" spans="2:10" x14ac:dyDescent="0.2">
      <c r="B38" s="430" t="s">
        <v>98</v>
      </c>
      <c r="C38" s="423">
        <v>0</v>
      </c>
      <c r="D38" s="443">
        <v>0</v>
      </c>
      <c r="E38" s="423">
        <v>0</v>
      </c>
      <c r="F38" s="423">
        <v>0</v>
      </c>
      <c r="G38" s="423">
        <v>0</v>
      </c>
      <c r="H38" s="423">
        <v>0</v>
      </c>
      <c r="I38" s="423">
        <v>0</v>
      </c>
      <c r="J38" s="431">
        <v>0</v>
      </c>
    </row>
    <row r="39" spans="2:10" x14ac:dyDescent="0.2">
      <c r="B39" s="430" t="s">
        <v>99</v>
      </c>
      <c r="C39" s="423">
        <v>1</v>
      </c>
      <c r="D39" s="443">
        <v>4090</v>
      </c>
      <c r="E39" s="423">
        <v>146</v>
      </c>
      <c r="F39" s="423">
        <v>240</v>
      </c>
      <c r="G39" s="423">
        <v>617</v>
      </c>
      <c r="H39" s="423">
        <v>1</v>
      </c>
      <c r="I39" s="423">
        <v>1</v>
      </c>
      <c r="J39" s="431">
        <v>1</v>
      </c>
    </row>
    <row r="40" spans="2:10" x14ac:dyDescent="0.2">
      <c r="B40" s="430" t="s">
        <v>100</v>
      </c>
      <c r="C40" s="423">
        <v>1</v>
      </c>
      <c r="D40" s="443">
        <v>2700</v>
      </c>
      <c r="E40" s="423">
        <v>216</v>
      </c>
      <c r="F40" s="423">
        <v>2016</v>
      </c>
      <c r="G40" s="423">
        <v>2016</v>
      </c>
      <c r="H40" s="423">
        <v>1</v>
      </c>
      <c r="I40" s="423">
        <v>1</v>
      </c>
      <c r="J40" s="431">
        <v>1</v>
      </c>
    </row>
    <row r="41" spans="2:10" x14ac:dyDescent="0.2">
      <c r="B41" s="430" t="s">
        <v>192</v>
      </c>
      <c r="C41" s="423">
        <v>0</v>
      </c>
      <c r="D41" s="443">
        <v>0</v>
      </c>
      <c r="E41" s="423">
        <v>0</v>
      </c>
      <c r="F41" s="423">
        <v>0</v>
      </c>
      <c r="G41" s="423">
        <v>0</v>
      </c>
      <c r="H41" s="423">
        <v>0</v>
      </c>
      <c r="I41" s="423">
        <v>0</v>
      </c>
      <c r="J41" s="431">
        <v>0</v>
      </c>
    </row>
    <row r="42" spans="2:10" x14ac:dyDescent="0.2">
      <c r="B42" s="430" t="s">
        <v>193</v>
      </c>
      <c r="C42" s="423">
        <v>1</v>
      </c>
      <c r="D42" s="443">
        <v>5170</v>
      </c>
      <c r="E42" s="423">
        <v>445</v>
      </c>
      <c r="F42" s="423">
        <v>2477</v>
      </c>
      <c r="G42" s="423">
        <v>5873</v>
      </c>
      <c r="H42" s="423">
        <v>2</v>
      </c>
      <c r="I42" s="423">
        <v>1</v>
      </c>
      <c r="J42" s="433">
        <v>1</v>
      </c>
    </row>
    <row r="43" spans="2:10" ht="15.75" customHeight="1" x14ac:dyDescent="0.2">
      <c r="B43" s="434" t="s">
        <v>22</v>
      </c>
      <c r="C43" s="434">
        <f>SUM(C38:C42)</f>
        <v>3</v>
      </c>
      <c r="D43" s="434">
        <f t="shared" ref="D43:J43" si="3">SUM(D38:D42)</f>
        <v>11960</v>
      </c>
      <c r="E43" s="434">
        <f>SUM(E37:E42)</f>
        <v>807</v>
      </c>
      <c r="F43" s="434">
        <f t="shared" si="3"/>
        <v>4733</v>
      </c>
      <c r="G43" s="434">
        <f t="shared" si="3"/>
        <v>8506</v>
      </c>
      <c r="H43" s="434">
        <f t="shared" si="3"/>
        <v>4</v>
      </c>
      <c r="I43" s="434">
        <f t="shared" si="3"/>
        <v>3</v>
      </c>
      <c r="J43" s="434">
        <f t="shared" si="3"/>
        <v>3</v>
      </c>
    </row>
    <row r="44" spans="2:10" x14ac:dyDescent="0.2">
      <c r="B44" s="428" t="s">
        <v>154</v>
      </c>
      <c r="C44" s="423"/>
      <c r="D44" s="423"/>
      <c r="E44" s="423"/>
      <c r="F44" s="423"/>
      <c r="G44" s="423"/>
      <c r="H44" s="423"/>
      <c r="I44" s="423"/>
      <c r="J44" s="431"/>
    </row>
    <row r="45" spans="2:10" x14ac:dyDescent="0.2">
      <c r="B45" s="430" t="s">
        <v>194</v>
      </c>
      <c r="C45" s="423">
        <v>0</v>
      </c>
      <c r="D45" s="423">
        <v>0</v>
      </c>
      <c r="E45" s="423">
        <v>0</v>
      </c>
      <c r="F45" s="423">
        <v>0</v>
      </c>
      <c r="G45" s="423">
        <v>0</v>
      </c>
      <c r="H45" s="423">
        <v>0</v>
      </c>
      <c r="I45" s="423">
        <v>0</v>
      </c>
      <c r="J45" s="431">
        <v>0</v>
      </c>
    </row>
    <row r="46" spans="2:10" x14ac:dyDescent="0.2">
      <c r="B46" s="430" t="s">
        <v>195</v>
      </c>
      <c r="C46" s="423">
        <v>0</v>
      </c>
      <c r="D46" s="423">
        <v>0</v>
      </c>
      <c r="E46" s="423">
        <v>0</v>
      </c>
      <c r="F46" s="423">
        <v>0</v>
      </c>
      <c r="G46" s="423">
        <v>0</v>
      </c>
      <c r="H46" s="423">
        <v>0</v>
      </c>
      <c r="I46" s="423">
        <v>0</v>
      </c>
      <c r="J46" s="431">
        <v>0</v>
      </c>
    </row>
    <row r="47" spans="2:10" x14ac:dyDescent="0.2">
      <c r="B47" s="430" t="s">
        <v>102</v>
      </c>
      <c r="C47" s="423">
        <v>1</v>
      </c>
      <c r="D47" s="443">
        <v>7917</v>
      </c>
      <c r="E47" s="423">
        <v>241</v>
      </c>
      <c r="F47" s="423">
        <v>4054</v>
      </c>
      <c r="G47" s="423">
        <v>3154</v>
      </c>
      <c r="H47" s="423">
        <v>2</v>
      </c>
      <c r="I47" s="423">
        <v>1</v>
      </c>
      <c r="J47" s="431">
        <v>1</v>
      </c>
    </row>
    <row r="48" spans="2:10" x14ac:dyDescent="0.2">
      <c r="B48" s="430" t="s">
        <v>196</v>
      </c>
      <c r="C48" s="423">
        <v>2</v>
      </c>
      <c r="D48" s="443">
        <v>2725</v>
      </c>
      <c r="E48" s="423">
        <v>188</v>
      </c>
      <c r="F48" s="423">
        <v>864</v>
      </c>
      <c r="G48" s="423">
        <v>531</v>
      </c>
      <c r="H48" s="423">
        <v>2</v>
      </c>
      <c r="I48" s="423">
        <v>0</v>
      </c>
      <c r="J48" s="431">
        <v>0</v>
      </c>
    </row>
    <row r="49" spans="2:10" x14ac:dyDescent="0.2">
      <c r="B49" s="430" t="s">
        <v>197</v>
      </c>
      <c r="C49" s="423">
        <v>0</v>
      </c>
      <c r="D49" s="423">
        <v>0</v>
      </c>
      <c r="E49" s="423">
        <v>0</v>
      </c>
      <c r="F49" s="423">
        <v>0</v>
      </c>
      <c r="G49" s="423">
        <v>0</v>
      </c>
      <c r="H49" s="423">
        <v>0</v>
      </c>
      <c r="I49" s="423">
        <v>0</v>
      </c>
      <c r="J49" s="431">
        <v>0</v>
      </c>
    </row>
    <row r="50" spans="2:10" x14ac:dyDescent="0.2">
      <c r="B50" s="430" t="s">
        <v>198</v>
      </c>
      <c r="C50" s="423">
        <v>0</v>
      </c>
      <c r="D50" s="423">
        <v>0</v>
      </c>
      <c r="E50" s="423">
        <v>0</v>
      </c>
      <c r="F50" s="423">
        <v>0</v>
      </c>
      <c r="G50" s="423">
        <v>0</v>
      </c>
      <c r="H50" s="423">
        <v>0</v>
      </c>
      <c r="I50" s="423">
        <v>0</v>
      </c>
      <c r="J50" s="431">
        <v>0</v>
      </c>
    </row>
    <row r="51" spans="2:10" ht="16.5" customHeight="1" x14ac:dyDescent="0.2">
      <c r="B51" s="434" t="s">
        <v>22</v>
      </c>
      <c r="C51" s="434">
        <f>SUM(C45:C50)</f>
        <v>3</v>
      </c>
      <c r="D51" s="434">
        <f t="shared" ref="D51:J51" si="4">SUM(D45:D50)</f>
        <v>10642</v>
      </c>
      <c r="E51" s="434">
        <f>SUM(E44:E50)</f>
        <v>429</v>
      </c>
      <c r="F51" s="434">
        <f t="shared" si="4"/>
        <v>4918</v>
      </c>
      <c r="G51" s="434">
        <f t="shared" si="4"/>
        <v>3685</v>
      </c>
      <c r="H51" s="434">
        <f t="shared" si="4"/>
        <v>4</v>
      </c>
      <c r="I51" s="434">
        <f t="shared" si="4"/>
        <v>1</v>
      </c>
      <c r="J51" s="434">
        <f t="shared" si="4"/>
        <v>1</v>
      </c>
    </row>
    <row r="54" spans="2:10" x14ac:dyDescent="0.2">
      <c r="B54" s="423"/>
      <c r="C54" s="423"/>
      <c r="D54" s="423"/>
      <c r="E54" s="423"/>
      <c r="F54" s="423"/>
      <c r="G54" s="423"/>
      <c r="H54" s="423"/>
      <c r="I54" s="423"/>
      <c r="J54" s="423"/>
    </row>
    <row r="55" spans="2:10" x14ac:dyDescent="0.2">
      <c r="B55" s="423"/>
      <c r="C55" s="423"/>
      <c r="D55" s="423"/>
      <c r="E55" s="423"/>
      <c r="F55" s="423"/>
      <c r="G55" s="423"/>
      <c r="H55" s="423"/>
      <c r="I55" s="423"/>
      <c r="J55" s="423"/>
    </row>
    <row r="56" spans="2:10" x14ac:dyDescent="0.2">
      <c r="B56" s="423"/>
      <c r="C56" s="423"/>
      <c r="D56" s="423"/>
      <c r="E56" s="423"/>
      <c r="F56" s="423"/>
      <c r="G56" s="423"/>
      <c r="H56" s="423"/>
      <c r="I56" s="423"/>
      <c r="J56" s="423"/>
    </row>
    <row r="57" spans="2:10" x14ac:dyDescent="0.2">
      <c r="B57" s="423"/>
      <c r="C57" s="423"/>
      <c r="D57" s="423"/>
      <c r="E57" s="423"/>
      <c r="F57" s="423"/>
      <c r="G57" s="423"/>
      <c r="H57" s="423"/>
      <c r="I57" s="423"/>
      <c r="J57" s="423"/>
    </row>
    <row r="58" spans="2:10" x14ac:dyDescent="0.2">
      <c r="B58" s="423"/>
      <c r="C58" s="42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2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23"/>
      <c r="D60" s="423"/>
      <c r="E60" s="423"/>
      <c r="F60" s="423"/>
      <c r="G60" s="423"/>
      <c r="H60" s="423"/>
      <c r="I60" s="423"/>
      <c r="J60" s="423"/>
    </row>
    <row r="61" spans="2:10" x14ac:dyDescent="0.2">
      <c r="B61" s="443"/>
      <c r="C61" s="423"/>
      <c r="D61" s="423"/>
      <c r="E61" s="423"/>
      <c r="F61" s="423"/>
      <c r="G61" s="423"/>
      <c r="H61" s="423"/>
      <c r="I61" s="423"/>
      <c r="J61" s="423"/>
    </row>
    <row r="62" spans="2:10" s="175" customFormat="1" ht="15.75" x14ac:dyDescent="0.25">
      <c r="B62" s="1008"/>
      <c r="C62" s="1008"/>
      <c r="D62" s="1008"/>
      <c r="E62" s="1008"/>
      <c r="F62" s="1008"/>
      <c r="G62" s="1008"/>
      <c r="H62" s="1008"/>
      <c r="I62" s="1008"/>
      <c r="J62" s="1008"/>
    </row>
    <row r="63" spans="2:10" s="175" customFormat="1" ht="15.75" x14ac:dyDescent="0.25">
      <c r="B63" s="444"/>
      <c r="C63" s="176"/>
      <c r="D63" s="176"/>
      <c r="E63" s="176"/>
      <c r="F63" s="176"/>
      <c r="G63" s="176"/>
      <c r="H63" s="176"/>
      <c r="I63" s="1006"/>
      <c r="J63" s="1006"/>
    </row>
    <row r="64" spans="2:10" s="175" customFormat="1" ht="15.75" x14ac:dyDescent="0.25">
      <c r="B64" s="444"/>
      <c r="C64" s="176"/>
      <c r="D64" s="176"/>
      <c r="E64" s="176"/>
      <c r="F64" s="176"/>
      <c r="G64" s="176"/>
      <c r="H64" s="176"/>
      <c r="I64" s="557"/>
      <c r="J64" s="557"/>
    </row>
    <row r="65" spans="2:12" s="175" customFormat="1" ht="15.75" x14ac:dyDescent="0.25">
      <c r="B65" s="444"/>
      <c r="C65" s="176"/>
      <c r="D65" s="176"/>
      <c r="E65" s="176"/>
      <c r="F65" s="176"/>
      <c r="G65" s="176"/>
      <c r="H65" s="176"/>
      <c r="I65" s="557"/>
      <c r="J65" s="557"/>
    </row>
    <row r="66" spans="2:12" s="175" customFormat="1" ht="15.75" x14ac:dyDescent="0.25">
      <c r="B66" s="1008"/>
      <c r="C66" s="1008"/>
      <c r="D66" s="1008"/>
      <c r="E66" s="1008"/>
      <c r="F66" s="1008"/>
      <c r="G66" s="1008"/>
      <c r="H66" s="1008"/>
      <c r="I66" s="1008"/>
      <c r="J66" s="1008"/>
    </row>
    <row r="67" spans="2:12" s="425" customFormat="1" ht="11.25" x14ac:dyDescent="0.2">
      <c r="B67" s="968" t="s">
        <v>84</v>
      </c>
      <c r="C67" s="968" t="s">
        <v>85</v>
      </c>
      <c r="D67" s="968" t="s">
        <v>67</v>
      </c>
      <c r="E67" s="968" t="s">
        <v>68</v>
      </c>
      <c r="F67" s="968" t="s">
        <v>69</v>
      </c>
      <c r="G67" s="968" t="s">
        <v>70</v>
      </c>
      <c r="H67" s="968" t="s">
        <v>222</v>
      </c>
      <c r="I67" s="1001" t="s">
        <v>223</v>
      </c>
      <c r="J67" s="1002"/>
      <c r="K67" s="424"/>
      <c r="L67" s="424"/>
    </row>
    <row r="68" spans="2:12" s="425" customFormat="1" ht="11.25" x14ac:dyDescent="0.2">
      <c r="B68" s="969"/>
      <c r="C68" s="969"/>
      <c r="D68" s="969"/>
      <c r="E68" s="969"/>
      <c r="F68" s="969"/>
      <c r="G68" s="969"/>
      <c r="H68" s="969"/>
      <c r="I68" s="1003"/>
      <c r="J68" s="1004"/>
      <c r="K68" s="424"/>
      <c r="L68" s="424"/>
    </row>
    <row r="69" spans="2:12" s="425" customFormat="1" ht="11.25" x14ac:dyDescent="0.2">
      <c r="B69" s="970"/>
      <c r="C69" s="970"/>
      <c r="D69" s="970"/>
      <c r="E69" s="970"/>
      <c r="F69" s="970"/>
      <c r="G69" s="970"/>
      <c r="H69" s="970"/>
      <c r="I69" s="426" t="s">
        <v>73</v>
      </c>
      <c r="J69" s="427" t="s">
        <v>86</v>
      </c>
      <c r="K69" s="424"/>
      <c r="L69" s="424"/>
    </row>
    <row r="70" spans="2:12" x14ac:dyDescent="0.2">
      <c r="B70" s="435">
        <v>1</v>
      </c>
      <c r="C70" s="436">
        <v>2</v>
      </c>
      <c r="D70" s="436">
        <v>3</v>
      </c>
      <c r="E70" s="436">
        <v>4</v>
      </c>
      <c r="F70" s="436">
        <v>5</v>
      </c>
      <c r="G70" s="436">
        <v>6</v>
      </c>
      <c r="H70" s="436">
        <v>7</v>
      </c>
      <c r="I70" s="436">
        <v>8</v>
      </c>
      <c r="J70" s="436">
        <v>9</v>
      </c>
      <c r="K70" s="437"/>
      <c r="L70" s="437"/>
    </row>
    <row r="71" spans="2:12" x14ac:dyDescent="0.2">
      <c r="B71" s="428" t="s">
        <v>155</v>
      </c>
      <c r="C71" s="423"/>
      <c r="D71" s="423"/>
      <c r="E71" s="423"/>
      <c r="F71" s="423"/>
      <c r="G71" s="423"/>
      <c r="H71" s="423"/>
      <c r="I71" s="423"/>
      <c r="J71" s="429"/>
      <c r="K71" s="437"/>
      <c r="L71" s="437"/>
    </row>
    <row r="72" spans="2:12" x14ac:dyDescent="0.2">
      <c r="B72" s="430" t="s">
        <v>199</v>
      </c>
      <c r="C72" s="161">
        <v>0</v>
      </c>
      <c r="D72" s="423">
        <v>0</v>
      </c>
      <c r="E72" s="423">
        <v>0</v>
      </c>
      <c r="F72" s="423">
        <v>0</v>
      </c>
      <c r="G72" s="423">
        <v>0</v>
      </c>
      <c r="H72" s="423">
        <v>0</v>
      </c>
      <c r="I72" s="423">
        <v>0</v>
      </c>
      <c r="J72" s="431">
        <v>0</v>
      </c>
      <c r="K72" s="437"/>
      <c r="L72" s="437"/>
    </row>
    <row r="73" spans="2:12" x14ac:dyDescent="0.2">
      <c r="B73" s="430" t="s">
        <v>200</v>
      </c>
      <c r="C73" s="423">
        <v>0</v>
      </c>
      <c r="D73" s="423">
        <v>0</v>
      </c>
      <c r="E73" s="423">
        <v>0</v>
      </c>
      <c r="F73" s="423">
        <v>0</v>
      </c>
      <c r="G73" s="423">
        <v>0</v>
      </c>
      <c r="H73" s="423">
        <v>0</v>
      </c>
      <c r="I73" s="423">
        <v>0</v>
      </c>
      <c r="J73" s="431">
        <v>0</v>
      </c>
      <c r="K73" s="437"/>
      <c r="L73" s="437"/>
    </row>
    <row r="74" spans="2:12" x14ac:dyDescent="0.2">
      <c r="B74" s="430" t="s">
        <v>201</v>
      </c>
      <c r="C74" s="423">
        <v>0</v>
      </c>
      <c r="D74" s="423">
        <v>0</v>
      </c>
      <c r="E74" s="423">
        <v>0</v>
      </c>
      <c r="F74" s="423">
        <v>0</v>
      </c>
      <c r="G74" s="423">
        <v>0</v>
      </c>
      <c r="H74" s="423">
        <v>0</v>
      </c>
      <c r="I74" s="423">
        <v>0</v>
      </c>
      <c r="J74" s="431">
        <v>0</v>
      </c>
      <c r="K74" s="437"/>
      <c r="L74" s="437"/>
    </row>
    <row r="75" spans="2:12" x14ac:dyDescent="0.2">
      <c r="B75" s="430" t="s">
        <v>202</v>
      </c>
      <c r="C75" s="423">
        <v>0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31">
        <v>0</v>
      </c>
      <c r="K75" s="437"/>
      <c r="L75" s="437"/>
    </row>
    <row r="76" spans="2:12" x14ac:dyDescent="0.2">
      <c r="B76" s="430" t="s">
        <v>203</v>
      </c>
      <c r="C76" s="423">
        <v>0</v>
      </c>
      <c r="D76" s="423">
        <v>0</v>
      </c>
      <c r="E76" s="423">
        <v>0</v>
      </c>
      <c r="F76" s="423">
        <v>0</v>
      </c>
      <c r="G76" s="423">
        <v>0</v>
      </c>
      <c r="H76" s="423">
        <v>0</v>
      </c>
      <c r="I76" s="423">
        <v>0</v>
      </c>
      <c r="J76" s="431">
        <v>0</v>
      </c>
      <c r="K76" s="437"/>
      <c r="L76" s="437"/>
    </row>
    <row r="77" spans="2:12" x14ac:dyDescent="0.2">
      <c r="B77" s="430" t="s">
        <v>104</v>
      </c>
      <c r="C77" s="423">
        <v>2</v>
      </c>
      <c r="D77" s="443">
        <v>10071</v>
      </c>
      <c r="E77" s="423">
        <v>449</v>
      </c>
      <c r="F77" s="423">
        <v>3687</v>
      </c>
      <c r="G77" s="423">
        <v>2853</v>
      </c>
      <c r="H77" s="423">
        <v>3</v>
      </c>
      <c r="I77" s="423">
        <v>2</v>
      </c>
      <c r="J77" s="431">
        <v>2</v>
      </c>
      <c r="K77" s="437"/>
      <c r="L77" s="437"/>
    </row>
    <row r="78" spans="2:12" x14ac:dyDescent="0.2">
      <c r="B78" s="430" t="s">
        <v>204</v>
      </c>
      <c r="C78" s="423">
        <v>0</v>
      </c>
      <c r="D78" s="423">
        <v>0</v>
      </c>
      <c r="E78" s="423">
        <v>0</v>
      </c>
      <c r="F78" s="423">
        <v>0</v>
      </c>
      <c r="G78" s="423">
        <v>0</v>
      </c>
      <c r="H78" s="423">
        <v>0</v>
      </c>
      <c r="I78" s="423">
        <v>0</v>
      </c>
      <c r="J78" s="433">
        <v>0</v>
      </c>
      <c r="K78" s="437"/>
      <c r="L78" s="437"/>
    </row>
    <row r="79" spans="2:12" ht="13.5" customHeight="1" x14ac:dyDescent="0.2">
      <c r="B79" s="434" t="s">
        <v>22</v>
      </c>
      <c r="C79" s="434">
        <f>SUM(C72:C78)</f>
        <v>2</v>
      </c>
      <c r="D79" s="434">
        <f t="shared" ref="D79:J79" si="5">SUM(D72:D78)</f>
        <v>10071</v>
      </c>
      <c r="E79" s="434">
        <f>SUM(E71:E78)</f>
        <v>449</v>
      </c>
      <c r="F79" s="434">
        <f t="shared" si="5"/>
        <v>3687</v>
      </c>
      <c r="G79" s="434">
        <f t="shared" si="5"/>
        <v>2853</v>
      </c>
      <c r="H79" s="434">
        <f t="shared" si="5"/>
        <v>3</v>
      </c>
      <c r="I79" s="434">
        <f t="shared" si="5"/>
        <v>2</v>
      </c>
      <c r="J79" s="434">
        <f t="shared" si="5"/>
        <v>2</v>
      </c>
      <c r="K79" s="437"/>
      <c r="L79" s="437"/>
    </row>
    <row r="80" spans="2:12" x14ac:dyDescent="0.2">
      <c r="B80" s="428" t="s">
        <v>156</v>
      </c>
      <c r="C80" s="423"/>
      <c r="D80" s="443"/>
      <c r="E80" s="423"/>
      <c r="F80" s="423"/>
      <c r="G80" s="423"/>
      <c r="H80" s="423"/>
      <c r="I80" s="423"/>
      <c r="J80" s="431"/>
    </row>
    <row r="81" spans="2:10" x14ac:dyDescent="0.2">
      <c r="B81" s="430" t="s">
        <v>205</v>
      </c>
      <c r="C81" s="423">
        <v>1</v>
      </c>
      <c r="D81" s="443">
        <v>1131</v>
      </c>
      <c r="E81" s="423">
        <v>65</v>
      </c>
      <c r="F81" s="423">
        <v>0</v>
      </c>
      <c r="G81" s="423">
        <v>150</v>
      </c>
      <c r="H81" s="423">
        <v>0</v>
      </c>
      <c r="I81" s="423">
        <v>0</v>
      </c>
      <c r="J81" s="431">
        <v>0</v>
      </c>
    </row>
    <row r="82" spans="2:10" x14ac:dyDescent="0.2">
      <c r="B82" s="430" t="s">
        <v>106</v>
      </c>
      <c r="C82" s="423">
        <v>0</v>
      </c>
      <c r="D82" s="423">
        <v>0</v>
      </c>
      <c r="E82" s="423">
        <v>0</v>
      </c>
      <c r="F82" s="423">
        <v>0</v>
      </c>
      <c r="G82" s="423">
        <v>0</v>
      </c>
      <c r="H82" s="423">
        <v>0</v>
      </c>
      <c r="I82" s="423">
        <v>0</v>
      </c>
      <c r="J82" s="431">
        <v>0</v>
      </c>
    </row>
    <row r="83" spans="2:10" x14ac:dyDescent="0.2">
      <c r="B83" s="430" t="s">
        <v>206</v>
      </c>
      <c r="C83" s="423">
        <v>0</v>
      </c>
      <c r="D83" s="443">
        <v>0</v>
      </c>
      <c r="E83" s="423">
        <v>0</v>
      </c>
      <c r="F83" s="423">
        <v>0</v>
      </c>
      <c r="G83" s="423">
        <v>0</v>
      </c>
      <c r="H83" s="423">
        <v>0</v>
      </c>
      <c r="I83" s="423">
        <v>0</v>
      </c>
      <c r="J83" s="431">
        <v>0</v>
      </c>
    </row>
    <row r="84" spans="2:10" x14ac:dyDescent="0.2">
      <c r="B84" s="430" t="s">
        <v>207</v>
      </c>
      <c r="C84" s="423">
        <v>0</v>
      </c>
      <c r="D84" s="443">
        <v>0</v>
      </c>
      <c r="E84" s="423">
        <v>0</v>
      </c>
      <c r="F84" s="423">
        <v>0</v>
      </c>
      <c r="G84" s="423">
        <v>0</v>
      </c>
      <c r="H84" s="423">
        <v>0</v>
      </c>
      <c r="I84" s="423">
        <v>0</v>
      </c>
      <c r="J84" s="431">
        <v>0</v>
      </c>
    </row>
    <row r="85" spans="2:10" ht="14.25" customHeight="1" x14ac:dyDescent="0.2">
      <c r="B85" s="434" t="s">
        <v>22</v>
      </c>
      <c r="C85" s="434">
        <f>SUM(C81:C84)</f>
        <v>1</v>
      </c>
      <c r="D85" s="434">
        <f t="shared" ref="D85:J85" si="6">SUM(D81:D84)</f>
        <v>1131</v>
      </c>
      <c r="E85" s="434">
        <f>SUM(E80:E84)</f>
        <v>65</v>
      </c>
      <c r="F85" s="434">
        <f t="shared" si="6"/>
        <v>0</v>
      </c>
      <c r="G85" s="434">
        <f t="shared" si="6"/>
        <v>150</v>
      </c>
      <c r="H85" s="434">
        <f t="shared" si="6"/>
        <v>0</v>
      </c>
      <c r="I85" s="434">
        <f t="shared" si="6"/>
        <v>0</v>
      </c>
      <c r="J85" s="434">
        <f t="shared" si="6"/>
        <v>0</v>
      </c>
    </row>
    <row r="86" spans="2:10" x14ac:dyDescent="0.2">
      <c r="B86" s="428" t="s">
        <v>157</v>
      </c>
      <c r="C86" s="423"/>
      <c r="D86" s="443"/>
      <c r="E86" s="423"/>
      <c r="F86" s="423"/>
      <c r="G86" s="423"/>
      <c r="H86" s="423"/>
      <c r="I86" s="423"/>
      <c r="J86" s="431"/>
    </row>
    <row r="87" spans="2:10" x14ac:dyDescent="0.2">
      <c r="B87" s="430" t="s">
        <v>208</v>
      </c>
      <c r="C87" s="423">
        <v>4</v>
      </c>
      <c r="D87" s="443">
        <v>11119</v>
      </c>
      <c r="E87" s="423">
        <v>661</v>
      </c>
      <c r="F87" s="423">
        <v>4041</v>
      </c>
      <c r="G87" s="423">
        <v>3441</v>
      </c>
      <c r="H87" s="423">
        <v>5</v>
      </c>
      <c r="I87" s="423">
        <v>4</v>
      </c>
      <c r="J87" s="431">
        <v>4</v>
      </c>
    </row>
    <row r="88" spans="2:10" x14ac:dyDescent="0.2">
      <c r="B88" s="430" t="s">
        <v>209</v>
      </c>
      <c r="C88" s="423">
        <v>0</v>
      </c>
      <c r="D88" s="423">
        <v>0</v>
      </c>
      <c r="E88" s="423">
        <v>0</v>
      </c>
      <c r="F88" s="423">
        <v>0</v>
      </c>
      <c r="G88" s="423">
        <v>0</v>
      </c>
      <c r="H88" s="423">
        <v>0</v>
      </c>
      <c r="I88" s="423">
        <v>0</v>
      </c>
      <c r="J88" s="431">
        <v>0</v>
      </c>
    </row>
    <row r="89" spans="2:10" x14ac:dyDescent="0.2">
      <c r="B89" s="430" t="s">
        <v>108</v>
      </c>
      <c r="C89" s="423">
        <v>0</v>
      </c>
      <c r="D89" s="443">
        <v>0</v>
      </c>
      <c r="E89" s="423">
        <v>0</v>
      </c>
      <c r="F89" s="423">
        <v>0</v>
      </c>
      <c r="G89" s="423">
        <v>0</v>
      </c>
      <c r="H89" s="423">
        <v>0</v>
      </c>
      <c r="I89" s="423">
        <v>0</v>
      </c>
      <c r="J89" s="431">
        <v>0</v>
      </c>
    </row>
    <row r="90" spans="2:10" x14ac:dyDescent="0.2">
      <c r="B90" s="430" t="s">
        <v>210</v>
      </c>
      <c r="C90" s="423">
        <v>1</v>
      </c>
      <c r="D90" s="443">
        <v>2045</v>
      </c>
      <c r="E90" s="423">
        <v>0</v>
      </c>
      <c r="F90" s="423">
        <v>0</v>
      </c>
      <c r="G90" s="423">
        <v>0</v>
      </c>
      <c r="H90" s="423">
        <v>0</v>
      </c>
      <c r="I90" s="423">
        <v>0</v>
      </c>
      <c r="J90" s="431">
        <v>0</v>
      </c>
    </row>
    <row r="91" spans="2:10" ht="13.5" customHeight="1" x14ac:dyDescent="0.2">
      <c r="B91" s="434" t="s">
        <v>22</v>
      </c>
      <c r="C91" s="434">
        <f>SUM(C87:C90)</f>
        <v>5</v>
      </c>
      <c r="D91" s="434">
        <f t="shared" ref="D91:J91" si="7">SUM(D87:D90)</f>
        <v>13164</v>
      </c>
      <c r="E91" s="434">
        <f>SUM(E86:E90)</f>
        <v>661</v>
      </c>
      <c r="F91" s="434">
        <f t="shared" si="7"/>
        <v>4041</v>
      </c>
      <c r="G91" s="434">
        <f t="shared" si="7"/>
        <v>3441</v>
      </c>
      <c r="H91" s="434">
        <f t="shared" si="7"/>
        <v>5</v>
      </c>
      <c r="I91" s="434">
        <f t="shared" si="7"/>
        <v>4</v>
      </c>
      <c r="J91" s="434">
        <f t="shared" si="7"/>
        <v>4</v>
      </c>
    </row>
    <row r="92" spans="2:10" x14ac:dyDescent="0.2">
      <c r="B92" s="428" t="s">
        <v>158</v>
      </c>
      <c r="C92" s="423"/>
      <c r="D92" s="423"/>
      <c r="E92" s="423"/>
      <c r="F92" s="423"/>
      <c r="G92" s="423"/>
      <c r="H92" s="423"/>
      <c r="I92" s="423"/>
      <c r="J92" s="431"/>
    </row>
    <row r="93" spans="2:10" x14ac:dyDescent="0.2">
      <c r="B93" s="430" t="s">
        <v>211</v>
      </c>
      <c r="C93" s="423">
        <v>0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31">
        <v>0</v>
      </c>
    </row>
    <row r="94" spans="2:10" x14ac:dyDescent="0.2">
      <c r="B94" s="430" t="s">
        <v>212</v>
      </c>
      <c r="C94" s="423">
        <v>0</v>
      </c>
      <c r="D94" s="44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31">
        <v>0</v>
      </c>
    </row>
    <row r="95" spans="2:10" x14ac:dyDescent="0.2">
      <c r="B95" s="430" t="s">
        <v>213</v>
      </c>
      <c r="C95" s="423">
        <v>1</v>
      </c>
      <c r="D95" s="443">
        <v>5203</v>
      </c>
      <c r="E95" s="423">
        <v>310</v>
      </c>
      <c r="F95" s="423">
        <v>2310</v>
      </c>
      <c r="G95" s="423">
        <v>3901</v>
      </c>
      <c r="H95" s="423">
        <v>1</v>
      </c>
      <c r="I95" s="423">
        <v>1</v>
      </c>
      <c r="J95" s="431">
        <v>1</v>
      </c>
    </row>
    <row r="96" spans="2:10" x14ac:dyDescent="0.2">
      <c r="B96" s="430" t="s">
        <v>214</v>
      </c>
      <c r="C96" s="423">
        <v>1</v>
      </c>
      <c r="D96" s="443">
        <v>4263</v>
      </c>
      <c r="E96" s="423">
        <v>249</v>
      </c>
      <c r="F96" s="423">
        <v>3180</v>
      </c>
      <c r="G96" s="423">
        <v>11468</v>
      </c>
      <c r="H96" s="423">
        <v>1</v>
      </c>
      <c r="I96" s="423">
        <v>1</v>
      </c>
      <c r="J96" s="431">
        <v>1</v>
      </c>
    </row>
    <row r="97" spans="2:10" x14ac:dyDescent="0.2">
      <c r="B97" s="430" t="s">
        <v>110</v>
      </c>
      <c r="C97" s="423">
        <v>0</v>
      </c>
      <c r="D97" s="443">
        <v>0</v>
      </c>
      <c r="E97" s="423">
        <v>0</v>
      </c>
      <c r="F97" s="423">
        <v>0</v>
      </c>
      <c r="G97" s="423">
        <v>0</v>
      </c>
      <c r="H97" s="423">
        <v>0</v>
      </c>
      <c r="I97" s="423">
        <v>0</v>
      </c>
      <c r="J97" s="431">
        <v>0</v>
      </c>
    </row>
    <row r="98" spans="2:10" x14ac:dyDescent="0.2">
      <c r="B98" s="430" t="s">
        <v>215</v>
      </c>
      <c r="C98" s="423">
        <v>1</v>
      </c>
      <c r="D98" s="443">
        <v>20693</v>
      </c>
      <c r="E98" s="423">
        <v>153</v>
      </c>
      <c r="F98" s="423">
        <v>1253</v>
      </c>
      <c r="G98" s="423">
        <v>891</v>
      </c>
      <c r="H98" s="423">
        <v>1</v>
      </c>
      <c r="I98" s="423">
        <v>1</v>
      </c>
      <c r="J98" s="431">
        <v>1</v>
      </c>
    </row>
    <row r="99" spans="2:10" ht="14.25" customHeight="1" x14ac:dyDescent="0.2">
      <c r="B99" s="434" t="s">
        <v>22</v>
      </c>
      <c r="C99" s="434">
        <f>SUM(C93:C98)</f>
        <v>3</v>
      </c>
      <c r="D99" s="434">
        <f t="shared" ref="D99:J99" si="8">SUM(D93:D98)</f>
        <v>30159</v>
      </c>
      <c r="E99" s="434">
        <f>SUM(E92:E98)</f>
        <v>712</v>
      </c>
      <c r="F99" s="434">
        <f t="shared" si="8"/>
        <v>6743</v>
      </c>
      <c r="G99" s="434">
        <f t="shared" si="8"/>
        <v>16260</v>
      </c>
      <c r="H99" s="434">
        <f t="shared" si="8"/>
        <v>3</v>
      </c>
      <c r="I99" s="434">
        <f t="shared" si="8"/>
        <v>3</v>
      </c>
      <c r="J99" s="434">
        <f t="shared" si="8"/>
        <v>3</v>
      </c>
    </row>
    <row r="100" spans="2:10" x14ac:dyDescent="0.2">
      <c r="B100" s="428" t="s">
        <v>159</v>
      </c>
      <c r="C100" s="423"/>
      <c r="D100" s="443"/>
      <c r="E100" s="423"/>
      <c r="F100" s="423"/>
      <c r="G100" s="423"/>
      <c r="H100" s="423"/>
      <c r="I100" s="423"/>
      <c r="J100" s="431"/>
    </row>
    <row r="101" spans="2:10" x14ac:dyDescent="0.2">
      <c r="B101" s="430" t="s">
        <v>112</v>
      </c>
      <c r="C101" s="423">
        <v>2</v>
      </c>
      <c r="D101" s="443">
        <v>7592</v>
      </c>
      <c r="E101" s="423">
        <v>500</v>
      </c>
      <c r="F101" s="423">
        <v>5160</v>
      </c>
      <c r="G101" s="423">
        <v>3445</v>
      </c>
      <c r="H101" s="423">
        <v>4</v>
      </c>
      <c r="I101" s="423">
        <v>2</v>
      </c>
      <c r="J101" s="431">
        <v>2</v>
      </c>
    </row>
    <row r="102" spans="2:10" x14ac:dyDescent="0.2">
      <c r="B102" s="430" t="s">
        <v>216</v>
      </c>
      <c r="C102" s="423">
        <v>0</v>
      </c>
      <c r="D102" s="443">
        <v>0</v>
      </c>
      <c r="E102" s="423">
        <v>0</v>
      </c>
      <c r="F102" s="423">
        <v>0</v>
      </c>
      <c r="G102" s="423">
        <v>0</v>
      </c>
      <c r="H102" s="423">
        <v>0</v>
      </c>
      <c r="I102" s="423">
        <v>0</v>
      </c>
      <c r="J102" s="431">
        <v>0</v>
      </c>
    </row>
    <row r="103" spans="2:10" x14ac:dyDescent="0.2">
      <c r="B103" s="430" t="s">
        <v>217</v>
      </c>
      <c r="C103" s="423">
        <v>1</v>
      </c>
      <c r="D103" s="443">
        <v>4718</v>
      </c>
      <c r="E103" s="423">
        <v>429</v>
      </c>
      <c r="F103" s="423">
        <v>4850</v>
      </c>
      <c r="G103" s="423">
        <v>1880</v>
      </c>
      <c r="H103" s="423">
        <v>1</v>
      </c>
      <c r="I103" s="423">
        <v>1</v>
      </c>
      <c r="J103" s="431">
        <v>1</v>
      </c>
    </row>
    <row r="104" spans="2:10" x14ac:dyDescent="0.2">
      <c r="B104" s="430" t="s">
        <v>218</v>
      </c>
      <c r="C104" s="423">
        <v>0</v>
      </c>
      <c r="D104" s="423">
        <v>0</v>
      </c>
      <c r="E104" s="423">
        <v>0</v>
      </c>
      <c r="F104" s="423">
        <v>0</v>
      </c>
      <c r="G104" s="423">
        <v>0</v>
      </c>
      <c r="H104" s="423">
        <v>0</v>
      </c>
      <c r="I104" s="423">
        <v>0</v>
      </c>
      <c r="J104" s="431">
        <v>0</v>
      </c>
    </row>
    <row r="105" spans="2:10" x14ac:dyDescent="0.2">
      <c r="B105" s="430" t="s">
        <v>219</v>
      </c>
      <c r="C105" s="423">
        <v>3</v>
      </c>
      <c r="D105" s="443">
        <v>18587</v>
      </c>
      <c r="E105" s="423">
        <v>612</v>
      </c>
      <c r="F105" s="423">
        <v>5538</v>
      </c>
      <c r="G105" s="423">
        <v>5402</v>
      </c>
      <c r="H105" s="423">
        <v>3</v>
      </c>
      <c r="I105" s="423">
        <v>2</v>
      </c>
      <c r="J105" s="431">
        <v>2</v>
      </c>
    </row>
    <row r="106" spans="2:10" x14ac:dyDescent="0.2">
      <c r="B106" s="430" t="s">
        <v>220</v>
      </c>
      <c r="C106" s="423">
        <v>0</v>
      </c>
      <c r="D106" s="443">
        <v>0</v>
      </c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31">
        <v>0</v>
      </c>
    </row>
    <row r="107" spans="2:10" x14ac:dyDescent="0.2">
      <c r="B107" s="430" t="s">
        <v>113</v>
      </c>
      <c r="C107" s="423">
        <v>22</v>
      </c>
      <c r="D107" s="443">
        <v>62447</v>
      </c>
      <c r="E107" s="423">
        <v>5105</v>
      </c>
      <c r="F107" s="423">
        <v>55197</v>
      </c>
      <c r="G107" s="423">
        <v>61593</v>
      </c>
      <c r="H107" s="423">
        <v>22</v>
      </c>
      <c r="I107" s="423">
        <v>20</v>
      </c>
      <c r="J107" s="431">
        <v>20</v>
      </c>
    </row>
    <row r="108" spans="2:10" x14ac:dyDescent="0.2">
      <c r="B108" s="430" t="s">
        <v>221</v>
      </c>
      <c r="C108" s="423">
        <v>3</v>
      </c>
      <c r="D108" s="443">
        <v>5962</v>
      </c>
      <c r="E108" s="423">
        <v>128</v>
      </c>
      <c r="F108" s="423">
        <v>630</v>
      </c>
      <c r="G108" s="423">
        <v>380</v>
      </c>
      <c r="H108" s="423">
        <v>2</v>
      </c>
      <c r="I108" s="423">
        <v>2</v>
      </c>
      <c r="J108" s="431">
        <v>2</v>
      </c>
    </row>
    <row r="109" spans="2:10" ht="14.25" customHeight="1" x14ac:dyDescent="0.2">
      <c r="B109" s="434" t="s">
        <v>22</v>
      </c>
      <c r="C109" s="434">
        <f>SUM(C100:C108)</f>
        <v>31</v>
      </c>
      <c r="D109" s="434">
        <f t="shared" ref="D109:J109" si="9">SUM(D101:D108)</f>
        <v>99306</v>
      </c>
      <c r="E109" s="434">
        <f>SUM(E100:E108)</f>
        <v>6774</v>
      </c>
      <c r="F109" s="434">
        <f t="shared" si="9"/>
        <v>71375</v>
      </c>
      <c r="G109" s="434">
        <f t="shared" si="9"/>
        <v>72700</v>
      </c>
      <c r="H109" s="434">
        <f t="shared" si="9"/>
        <v>32</v>
      </c>
      <c r="I109" s="434">
        <f t="shared" si="9"/>
        <v>27</v>
      </c>
      <c r="J109" s="434">
        <f t="shared" si="9"/>
        <v>27</v>
      </c>
    </row>
    <row r="110" spans="2:10" ht="18" customHeight="1" x14ac:dyDescent="0.2">
      <c r="B110" s="447" t="s">
        <v>115</v>
      </c>
      <c r="C110" s="447">
        <f t="shared" ref="C110:J110" si="10">C17+C27+C36+C43+C51+C79+C85+C91+C99+C109</f>
        <v>74</v>
      </c>
      <c r="D110" s="447">
        <f t="shared" si="10"/>
        <v>258581</v>
      </c>
      <c r="E110" s="447">
        <f t="shared" si="10"/>
        <v>15872</v>
      </c>
      <c r="F110" s="447">
        <f t="shared" si="10"/>
        <v>149065</v>
      </c>
      <c r="G110" s="447">
        <f t="shared" si="10"/>
        <v>153835</v>
      </c>
      <c r="H110" s="447">
        <f t="shared" si="10"/>
        <v>80</v>
      </c>
      <c r="I110" s="447">
        <f t="shared" si="10"/>
        <v>65</v>
      </c>
      <c r="J110" s="447">
        <f t="shared" si="10"/>
        <v>65</v>
      </c>
    </row>
    <row r="111" spans="2:10" x14ac:dyDescent="0.2">
      <c r="B111" s="440"/>
    </row>
    <row r="112" spans="2:10" x14ac:dyDescent="0.2">
      <c r="B112" s="440"/>
    </row>
    <row r="113" spans="2:2" x14ac:dyDescent="0.2">
      <c r="B113" s="440"/>
    </row>
    <row r="114" spans="2:2" x14ac:dyDescent="0.2">
      <c r="B114" s="440"/>
    </row>
    <row r="115" spans="2:2" x14ac:dyDescent="0.2">
      <c r="B115" s="440"/>
    </row>
    <row r="116" spans="2:2" x14ac:dyDescent="0.2">
      <c r="B116" s="440"/>
    </row>
    <row r="117" spans="2:2" x14ac:dyDescent="0.2">
      <c r="B117" s="440"/>
    </row>
    <row r="118" spans="2:2" x14ac:dyDescent="0.2">
      <c r="B118" s="440"/>
    </row>
    <row r="119" spans="2:2" x14ac:dyDescent="0.2">
      <c r="B119" s="440"/>
    </row>
    <row r="120" spans="2:2" x14ac:dyDescent="0.2">
      <c r="B120" s="440"/>
    </row>
    <row r="121" spans="2:2" x14ac:dyDescent="0.2">
      <c r="B121" s="440"/>
    </row>
    <row r="122" spans="2:2" x14ac:dyDescent="0.2">
      <c r="B122" s="440"/>
    </row>
    <row r="123" spans="2:2" x14ac:dyDescent="0.2">
      <c r="B123" s="440"/>
    </row>
    <row r="124" spans="2:2" x14ac:dyDescent="0.2">
      <c r="B124" s="440"/>
    </row>
    <row r="125" spans="2:2" x14ac:dyDescent="0.2">
      <c r="B125" s="440"/>
    </row>
    <row r="126" spans="2:2" x14ac:dyDescent="0.2">
      <c r="B126" s="440"/>
    </row>
    <row r="127" spans="2:2" x14ac:dyDescent="0.2">
      <c r="B127" s="440"/>
    </row>
    <row r="128" spans="2:2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</sheetData>
  <mergeCells count="22">
    <mergeCell ref="H67:H69"/>
    <mergeCell ref="I67:J68"/>
    <mergeCell ref="I7:J8"/>
    <mergeCell ref="B62:J62"/>
    <mergeCell ref="I63:J63"/>
    <mergeCell ref="B66:J66"/>
    <mergeCell ref="B67:B69"/>
    <mergeCell ref="C67:C69"/>
    <mergeCell ref="D67:D69"/>
    <mergeCell ref="E67:E69"/>
    <mergeCell ref="F67:F69"/>
    <mergeCell ref="G67:G69"/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</mergeCells>
  <pageMargins left="0.87" right="0.75" top="1" bottom="1" header="0" footer="0"/>
  <pageSetup paperSize="9" scale="86" fitToHeight="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172"/>
  <sheetViews>
    <sheetView topLeftCell="A70" zoomScaleNormal="100" workbookViewId="0">
      <selection activeCell="C71" sqref="C71:J110"/>
    </sheetView>
  </sheetViews>
  <sheetFormatPr defaultColWidth="9.140625" defaultRowHeight="12" x14ac:dyDescent="0.2"/>
  <cols>
    <col min="1" max="1" width="9.140625" style="161"/>
    <col min="2" max="2" width="13.8554687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5703125" style="161" customWidth="1"/>
    <col min="8" max="8" width="11.285156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170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961" t="s">
        <v>171</v>
      </c>
      <c r="C3" s="961"/>
      <c r="D3" s="961"/>
      <c r="E3" s="961"/>
      <c r="F3" s="961"/>
      <c r="G3" s="961"/>
      <c r="H3" s="961"/>
      <c r="I3" s="961"/>
      <c r="J3" s="961"/>
    </row>
    <row r="4" spans="2:21" s="175" customFormat="1" ht="15.75" x14ac:dyDescent="0.25">
      <c r="B4" s="174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x14ac:dyDescent="0.2">
      <c r="B11" s="441" t="s">
        <v>151</v>
      </c>
      <c r="C11" s="442"/>
      <c r="D11" s="442"/>
      <c r="E11" s="442"/>
      <c r="F11" s="442"/>
      <c r="G11" s="442"/>
      <c r="H11" s="442"/>
      <c r="I11" s="442"/>
      <c r="J11" s="429"/>
    </row>
    <row r="12" spans="2:21" ht="12.75" x14ac:dyDescent="0.2">
      <c r="B12" s="430" t="s">
        <v>88</v>
      </c>
      <c r="C12" s="423">
        <v>0</v>
      </c>
      <c r="D12" s="423">
        <v>0</v>
      </c>
      <c r="E12" s="423">
        <v>0</v>
      </c>
      <c r="F12" s="423">
        <v>0</v>
      </c>
      <c r="G12" s="423">
        <v>0</v>
      </c>
      <c r="H12" s="423">
        <v>0</v>
      </c>
      <c r="I12" s="423">
        <v>0</v>
      </c>
      <c r="J12" s="431">
        <v>0</v>
      </c>
      <c r="U12" s="376"/>
    </row>
    <row r="13" spans="2:21" ht="12.75" x14ac:dyDescent="0.2">
      <c r="B13" s="430" t="s">
        <v>179</v>
      </c>
      <c r="C13" s="423">
        <v>0</v>
      </c>
      <c r="D13" s="423">
        <v>0</v>
      </c>
      <c r="E13" s="423">
        <v>0</v>
      </c>
      <c r="F13" s="423">
        <v>0</v>
      </c>
      <c r="G13" s="423">
        <v>0</v>
      </c>
      <c r="H13" s="423">
        <v>0</v>
      </c>
      <c r="I13" s="423">
        <v>0</v>
      </c>
      <c r="J13" s="431">
        <v>0</v>
      </c>
      <c r="U13" s="376"/>
    </row>
    <row r="14" spans="2:21" ht="12.75" x14ac:dyDescent="0.2">
      <c r="B14" s="430" t="s">
        <v>89</v>
      </c>
      <c r="C14" s="423">
        <v>0</v>
      </c>
      <c r="D14" s="423">
        <v>0</v>
      </c>
      <c r="E14" s="423">
        <v>0</v>
      </c>
      <c r="F14" s="423">
        <v>0</v>
      </c>
      <c r="G14" s="423">
        <v>0</v>
      </c>
      <c r="H14" s="423">
        <v>0</v>
      </c>
      <c r="I14" s="423">
        <v>0</v>
      </c>
      <c r="J14" s="431">
        <v>0</v>
      </c>
      <c r="U14" s="376"/>
    </row>
    <row r="15" spans="2:21" x14ac:dyDescent="0.2">
      <c r="B15" s="430" t="s">
        <v>180</v>
      </c>
      <c r="C15" s="423">
        <v>0</v>
      </c>
      <c r="D15" s="423">
        <v>0</v>
      </c>
      <c r="E15" s="423">
        <v>0</v>
      </c>
      <c r="F15" s="423">
        <v>0</v>
      </c>
      <c r="G15" s="423">
        <v>0</v>
      </c>
      <c r="H15" s="423">
        <v>0</v>
      </c>
      <c r="I15" s="423">
        <v>0</v>
      </c>
      <c r="J15" s="431">
        <v>0</v>
      </c>
    </row>
    <row r="16" spans="2:21" x14ac:dyDescent="0.2">
      <c r="B16" s="430" t="s">
        <v>181</v>
      </c>
      <c r="C16" s="423">
        <v>0</v>
      </c>
      <c r="D16" s="423">
        <v>0</v>
      </c>
      <c r="E16" s="423">
        <v>0</v>
      </c>
      <c r="F16" s="423">
        <v>0</v>
      </c>
      <c r="G16" s="423">
        <v>0</v>
      </c>
      <c r="H16" s="423">
        <v>0</v>
      </c>
      <c r="I16" s="423">
        <v>0</v>
      </c>
      <c r="J16" s="431">
        <v>0</v>
      </c>
    </row>
    <row r="17" spans="2:10" ht="14.25" customHeight="1" x14ac:dyDescent="0.2">
      <c r="B17" s="434" t="s">
        <v>22</v>
      </c>
      <c r="C17" s="434">
        <f>SUM(C12:C16)</f>
        <v>0</v>
      </c>
      <c r="D17" s="434">
        <f t="shared" ref="D17:J17" si="0">SUM(D12:D16)</f>
        <v>0</v>
      </c>
      <c r="E17" s="434">
        <f t="shared" si="0"/>
        <v>0</v>
      </c>
      <c r="F17" s="434">
        <f t="shared" si="0"/>
        <v>0</v>
      </c>
      <c r="G17" s="434">
        <f t="shared" si="0"/>
        <v>0</v>
      </c>
      <c r="H17" s="434">
        <f t="shared" si="0"/>
        <v>0</v>
      </c>
      <c r="I17" s="434">
        <f>SUM(I12:I16)</f>
        <v>0</v>
      </c>
      <c r="J17" s="434">
        <f t="shared" si="0"/>
        <v>0</v>
      </c>
    </row>
    <row r="18" spans="2:10" x14ac:dyDescent="0.2">
      <c r="B18" s="441" t="s">
        <v>152</v>
      </c>
      <c r="C18" s="442"/>
      <c r="D18" s="442"/>
      <c r="E18" s="442"/>
      <c r="F18" s="442"/>
      <c r="G18" s="442"/>
      <c r="H18" s="442"/>
      <c r="I18" s="442"/>
      <c r="J18" s="429"/>
    </row>
    <row r="19" spans="2:10" x14ac:dyDescent="0.2">
      <c r="B19" s="430" t="s">
        <v>91</v>
      </c>
      <c r="C19" s="423">
        <f>SUM([1]VALST_GB!B19+[1]NEVALST_GB!B19+[1]VALST_VIDMB!B19+[1]VALST_PgMB!B19)</f>
        <v>0</v>
      </c>
      <c r="D19" s="423">
        <f>SUM([1]VALST_GB!C19+[1]NEVALST_GB!C19+[1]VALST_VIDMB!C19+[1]VALST_PgMB!C19)</f>
        <v>0</v>
      </c>
      <c r="E19" s="423">
        <f>SUM([1]VALST_GB!D19+[1]NEVALST_GB!D19+[1]VALST_VIDMB!D19+[1]VALST_PgMB!D19)</f>
        <v>0</v>
      </c>
      <c r="F19" s="423">
        <f>SUM([1]VALST_GB!E19+[1]NEVALST_GB!E19+[1]VALST_VIDMB!E19+[1]VALST_PgMB!E19)</f>
        <v>0</v>
      </c>
      <c r="G19" s="423">
        <f>SUM([1]VALST_GB!F19+[1]NEVALST_GB!F19+[1]VALST_VIDMB!F19+[1]VALST_PgMB!F19)</f>
        <v>0</v>
      </c>
      <c r="H19" s="423">
        <f>SUM([1]VALST_GB!G19+[1]NEVALST_GB!G19+[1]VALST_VIDMB!G19+[1]VALST_PgMB!G19)</f>
        <v>0</v>
      </c>
      <c r="I19" s="423">
        <f>SUM([1]VALST_GB!H19+[1]NEVALST_GB!H19+[1]VALST_VIDMB!H19+[1]VALST_PgMB!H19)</f>
        <v>0</v>
      </c>
      <c r="J19" s="431">
        <f>SUM([1]VALST_GB!I19+[1]NEVALST_GB!I19+[1]VALST_VIDMB!I19+[1]VALST_PgMB!I19)</f>
        <v>0</v>
      </c>
    </row>
    <row r="20" spans="2:10" x14ac:dyDescent="0.2">
      <c r="B20" s="430" t="s">
        <v>182</v>
      </c>
      <c r="C20" s="423">
        <f>SUM([1]VALST_GB!B20+[1]NEVALST_GB!B20+[1]VALST_VIDMB!B20+[1]VALST_PgMB!B20)</f>
        <v>0</v>
      </c>
      <c r="D20" s="423">
        <f>SUM([1]VALST_GB!C20+[1]NEVALST_GB!C20+[1]VALST_VIDMB!C20+[1]VALST_PgMB!C20)</f>
        <v>0</v>
      </c>
      <c r="E20" s="423">
        <f>SUM([1]VALST_GB!D20+[1]NEVALST_GB!D20+[1]VALST_VIDMB!D20+[1]VALST_PgMB!D20)</f>
        <v>0</v>
      </c>
      <c r="F20" s="423">
        <f>SUM([1]VALST_GB!E20+[1]NEVALST_GB!E20+[1]VALST_VIDMB!E20+[1]VALST_PgMB!E20)</f>
        <v>0</v>
      </c>
      <c r="G20" s="423">
        <f>SUM([1]VALST_GB!F20+[1]NEVALST_GB!F20+[1]VALST_VIDMB!F20+[1]VALST_PgMB!F20)</f>
        <v>0</v>
      </c>
      <c r="H20" s="423">
        <f>SUM([1]VALST_GB!G20+[1]NEVALST_GB!G20+[1]VALST_VIDMB!G20+[1]VALST_PgMB!G20)</f>
        <v>0</v>
      </c>
      <c r="I20" s="423">
        <f>SUM([1]VALST_GB!H20+[1]NEVALST_GB!H20+[1]VALST_VIDMB!H20+[1]VALST_PgMB!H20)</f>
        <v>0</v>
      </c>
      <c r="J20" s="431">
        <f>SUM([1]VALST_GB!I20+[1]NEVALST_GB!I20+[1]VALST_VIDMB!I20+[1]VALST_PgMB!I20)</f>
        <v>0</v>
      </c>
    </row>
    <row r="21" spans="2:10" x14ac:dyDescent="0.2">
      <c r="B21" s="430" t="s">
        <v>183</v>
      </c>
      <c r="C21" s="423">
        <f>SUM([1]VALST_GB!B21+[1]NEVALST_GB!B21+[1]VALST_VIDMB!B21+[1]VALST_PgMB!B21)</f>
        <v>0</v>
      </c>
      <c r="D21" s="423">
        <f>SUM([1]VALST_GB!C21+[1]NEVALST_GB!C21+[1]VALST_VIDMB!C21+[1]VALST_PgMB!C21)</f>
        <v>0</v>
      </c>
      <c r="E21" s="423">
        <f>SUM([1]VALST_GB!D21+[1]NEVALST_GB!D21+[1]VALST_VIDMB!D21+[1]VALST_PgMB!D21)</f>
        <v>0</v>
      </c>
      <c r="F21" s="423">
        <f>SUM([1]VALST_GB!E21+[1]NEVALST_GB!E21+[1]VALST_VIDMB!E21+[1]VALST_PgMB!E21)</f>
        <v>0</v>
      </c>
      <c r="G21" s="423">
        <f>SUM([1]VALST_GB!F21+[1]NEVALST_GB!F21+[1]VALST_VIDMB!F21+[1]VALST_PgMB!F21)</f>
        <v>0</v>
      </c>
      <c r="H21" s="423">
        <f>SUM([1]VALST_GB!G21+[1]NEVALST_GB!G21+[1]VALST_VIDMB!G21+[1]VALST_PgMB!G21)</f>
        <v>0</v>
      </c>
      <c r="I21" s="423">
        <f>SUM([1]VALST_GB!H21+[1]NEVALST_GB!H21+[1]VALST_VIDMB!H21+[1]VALST_PgMB!H21)</f>
        <v>0</v>
      </c>
      <c r="J21" s="431">
        <f>SUM([1]VALST_GB!I21+[1]NEVALST_GB!I21+[1]VALST_VIDMB!I21+[1]VALST_PgMB!I21)</f>
        <v>0</v>
      </c>
    </row>
    <row r="22" spans="2:10" x14ac:dyDescent="0.2">
      <c r="B22" s="430" t="s">
        <v>92</v>
      </c>
      <c r="C22" s="443">
        <f>SUM(VALST_PGMB!C13, VALST_GB!C13)</f>
        <v>5</v>
      </c>
      <c r="D22" s="443">
        <f>SUM(VALST_PGMB!D13, VALST_GB!D13)</f>
        <v>68019</v>
      </c>
      <c r="E22" s="443">
        <f>SUM(VALST_PGMB!E13, VALST_GB!E13)</f>
        <v>1440</v>
      </c>
      <c r="F22" s="443">
        <f>SUM(VALST_PGMB!F13, VALST_GB!F13)</f>
        <v>16733</v>
      </c>
      <c r="G22" s="443">
        <f>SUM(VALST_PGMB!G13, VALST_GB!G13)</f>
        <v>12519</v>
      </c>
      <c r="H22" s="443">
        <f>SUM(VALST_PGMB!H13, VALST_GB!H13)</f>
        <v>8</v>
      </c>
      <c r="I22" s="443">
        <f>SUM(VALST_PGMB!I13, VALST_GB!I13)</f>
        <v>4</v>
      </c>
      <c r="J22" s="471">
        <f>SUM(VALST_PGMB!J13, VALST_GB!J13)</f>
        <v>4</v>
      </c>
    </row>
    <row r="23" spans="2:10" x14ac:dyDescent="0.2">
      <c r="B23" s="430" t="s">
        <v>184</v>
      </c>
      <c r="C23" s="423">
        <f>SUM([1]VALST_GB!B23+[1]NEVALST_GB!B23+[1]VALST_VIDMB!B23+[1]VALST_PgMB!B23)</f>
        <v>0</v>
      </c>
      <c r="D23" s="423">
        <f>SUM([1]VALST_GB!C23+[1]NEVALST_GB!C23+[1]VALST_VIDMB!C23+[1]VALST_PgMB!C23)</f>
        <v>0</v>
      </c>
      <c r="E23" s="423">
        <f>SUM([1]VALST_GB!D23+[1]NEVALST_GB!D23+[1]VALST_VIDMB!D23+[1]VALST_PgMB!D23)</f>
        <v>0</v>
      </c>
      <c r="F23" s="423">
        <f>SUM([1]VALST_GB!E23+[1]NEVALST_GB!E23+[1]VALST_VIDMB!E23+[1]VALST_PgMB!E23)</f>
        <v>0</v>
      </c>
      <c r="G23" s="423">
        <f>SUM([1]VALST_GB!F23+[1]NEVALST_GB!F23+[1]VALST_VIDMB!F23+[1]VALST_PgMB!F23)</f>
        <v>0</v>
      </c>
      <c r="H23" s="423">
        <f>SUM([1]VALST_GB!G23+[1]NEVALST_GB!G23+[1]VALST_VIDMB!G23+[1]VALST_PgMB!G23)</f>
        <v>0</v>
      </c>
      <c r="I23" s="423">
        <f>SUM([1]VALST_GB!H23+[1]NEVALST_GB!H23+[1]VALST_VIDMB!H23+[1]VALST_PgMB!H23)</f>
        <v>0</v>
      </c>
      <c r="J23" s="431">
        <f>SUM([1]VALST_GB!I23+[1]NEVALST_GB!I23+[1]VALST_VIDMB!I23+[1]VALST_PgMB!I23)</f>
        <v>0</v>
      </c>
    </row>
    <row r="24" spans="2:10" x14ac:dyDescent="0.2">
      <c r="B24" s="430" t="s">
        <v>185</v>
      </c>
      <c r="C24" s="423">
        <f>SUM([1]VALST_GB!B24+[1]NEVALST_GB!B24+[1]VALST_VIDMB!B24+[1]VALST_PgMB!B24)</f>
        <v>0</v>
      </c>
      <c r="D24" s="423">
        <f>SUM([1]VALST_GB!C24+[1]NEVALST_GB!C24+[1]VALST_VIDMB!C24+[1]VALST_PgMB!C24)</f>
        <v>0</v>
      </c>
      <c r="E24" s="423">
        <f>SUM([1]VALST_GB!D24+[1]NEVALST_GB!D24+[1]VALST_VIDMB!D24+[1]VALST_PgMB!D24)</f>
        <v>0</v>
      </c>
      <c r="F24" s="423">
        <f>SUM([1]VALST_GB!E24+[1]NEVALST_GB!E24+[1]VALST_VIDMB!E24+[1]VALST_PgMB!E24)</f>
        <v>0</v>
      </c>
      <c r="G24" s="423">
        <f>SUM([1]VALST_GB!F24+[1]NEVALST_GB!F24+[1]VALST_VIDMB!F24+[1]VALST_PgMB!F24)</f>
        <v>0</v>
      </c>
      <c r="H24" s="423">
        <f>SUM([1]VALST_GB!G24+[1]NEVALST_GB!G24+[1]VALST_VIDMB!G24+[1]VALST_PgMB!G24)</f>
        <v>0</v>
      </c>
      <c r="I24" s="423">
        <f>SUM([1]VALST_GB!H24+[1]NEVALST_GB!H24+[1]VALST_VIDMB!H24+[1]VALST_PgMB!H24)</f>
        <v>0</v>
      </c>
      <c r="J24" s="431">
        <f>SUM([1]VALST_GB!I24+[1]NEVALST_GB!I24+[1]VALST_VIDMB!I24+[1]VALST_PgMB!I24)</f>
        <v>0</v>
      </c>
    </row>
    <row r="25" spans="2:10" x14ac:dyDescent="0.2">
      <c r="B25" s="430" t="s">
        <v>186</v>
      </c>
      <c r="C25" s="423">
        <f>SUM([1]VALST_GB!B25+[1]NEVALST_GB!B25+[1]VALST_VIDMB!B25+[1]VALST_PgMB!B25)</f>
        <v>0</v>
      </c>
      <c r="D25" s="423">
        <f>SUM([1]VALST_GB!C25+[1]NEVALST_GB!C25+[1]VALST_VIDMB!C25+[1]VALST_PgMB!C25)</f>
        <v>0</v>
      </c>
      <c r="E25" s="423">
        <f>SUM([1]VALST_GB!D25+[1]NEVALST_GB!D25+[1]VALST_VIDMB!D25+[1]VALST_PgMB!D25)</f>
        <v>0</v>
      </c>
      <c r="F25" s="423">
        <f>SUM([1]VALST_GB!E25+[1]NEVALST_GB!E25+[1]VALST_VIDMB!E25+[1]VALST_PgMB!E25)</f>
        <v>0</v>
      </c>
      <c r="G25" s="423">
        <f>SUM([1]VALST_GB!F25+[1]NEVALST_GB!F25+[1]VALST_VIDMB!F25+[1]VALST_PgMB!F25)</f>
        <v>0</v>
      </c>
      <c r="H25" s="423">
        <f>SUM([1]VALST_GB!G25+[1]NEVALST_GB!G25+[1]VALST_VIDMB!G25+[1]VALST_PgMB!G25)</f>
        <v>0</v>
      </c>
      <c r="I25" s="423">
        <f>SUM([1]VALST_GB!H25+[1]NEVALST_GB!H25+[1]VALST_VIDMB!H25+[1]VALST_PgMB!H25)</f>
        <v>0</v>
      </c>
      <c r="J25" s="431">
        <f>SUM([1]VALST_GB!I25+[1]NEVALST_GB!I25+[1]VALST_VIDMB!I25+[1]VALST_PgMB!I25)</f>
        <v>0</v>
      </c>
    </row>
    <row r="26" spans="2:10" x14ac:dyDescent="0.2">
      <c r="B26" s="430" t="s">
        <v>187</v>
      </c>
      <c r="C26" s="423">
        <f>SUM([1]VALST_GB!B26+[1]NEVALST_GB!B26+[1]VALST_VIDMB!B26+[1]VALST_PgMB!B26)</f>
        <v>0</v>
      </c>
      <c r="D26" s="423">
        <f>SUM([1]VALST_GB!C26+[1]NEVALST_GB!C26+[1]VALST_VIDMB!C26+[1]VALST_PgMB!C26)</f>
        <v>0</v>
      </c>
      <c r="E26" s="423">
        <f>SUM([1]VALST_GB!D26+[1]NEVALST_GB!D26+[1]VALST_VIDMB!D26+[1]VALST_PgMB!D26)</f>
        <v>0</v>
      </c>
      <c r="F26" s="423">
        <f>SUM([1]VALST_GB!E26+[1]NEVALST_GB!E26+[1]VALST_VIDMB!E26+[1]VALST_PgMB!E26)</f>
        <v>0</v>
      </c>
      <c r="G26" s="423">
        <f>SUM([1]VALST_GB!F26+[1]NEVALST_GB!F26+[1]VALST_VIDMB!F26+[1]VALST_PgMB!F26)</f>
        <v>0</v>
      </c>
      <c r="H26" s="423">
        <f>SUM([1]VALST_GB!G26+[1]NEVALST_GB!G26+[1]VALST_VIDMB!G26+[1]VALST_PgMB!G26)</f>
        <v>0</v>
      </c>
      <c r="I26" s="423">
        <f>SUM([1]VALST_GB!H26+[1]NEVALST_GB!H26+[1]VALST_VIDMB!H26+[1]VALST_PgMB!H26)</f>
        <v>0</v>
      </c>
      <c r="J26" s="431">
        <f>SUM([1]VALST_GB!I26+[1]NEVALST_GB!I26+[1]VALST_VIDMB!I26+[1]VALST_PgMB!I26)</f>
        <v>0</v>
      </c>
    </row>
    <row r="27" spans="2:10" ht="14.25" customHeight="1" x14ac:dyDescent="0.2">
      <c r="B27" s="434" t="s">
        <v>22</v>
      </c>
      <c r="C27" s="434">
        <f>SUM(C19:C26)</f>
        <v>5</v>
      </c>
      <c r="D27" s="434">
        <f t="shared" ref="D27:J27" si="1">SUM(D19:D26)</f>
        <v>68019</v>
      </c>
      <c r="E27" s="434">
        <f t="shared" si="1"/>
        <v>1440</v>
      </c>
      <c r="F27" s="434">
        <f t="shared" si="1"/>
        <v>16733</v>
      </c>
      <c r="G27" s="434">
        <f t="shared" si="1"/>
        <v>12519</v>
      </c>
      <c r="H27" s="434">
        <f t="shared" si="1"/>
        <v>8</v>
      </c>
      <c r="I27" s="434">
        <f t="shared" si="1"/>
        <v>4</v>
      </c>
      <c r="J27" s="434">
        <f t="shared" si="1"/>
        <v>4</v>
      </c>
    </row>
    <row r="28" spans="2:10" x14ac:dyDescent="0.2">
      <c r="B28" s="441" t="s">
        <v>153</v>
      </c>
      <c r="C28" s="442"/>
      <c r="D28" s="442"/>
      <c r="E28" s="442"/>
      <c r="F28" s="442"/>
      <c r="G28" s="442"/>
      <c r="H28" s="442"/>
      <c r="I28" s="442"/>
      <c r="J28" s="429"/>
    </row>
    <row r="29" spans="2:10" x14ac:dyDescent="0.2">
      <c r="B29" s="430" t="s">
        <v>94</v>
      </c>
      <c r="C29" s="443">
        <v>2</v>
      </c>
      <c r="D29" s="443">
        <v>42543</v>
      </c>
      <c r="E29" s="443">
        <v>911</v>
      </c>
      <c r="F29" s="443">
        <v>42020</v>
      </c>
      <c r="G29" s="423">
        <v>12275</v>
      </c>
      <c r="H29" s="423">
        <v>3</v>
      </c>
      <c r="I29" s="423">
        <v>2</v>
      </c>
      <c r="J29" s="431">
        <v>2</v>
      </c>
    </row>
    <row r="30" spans="2:10" x14ac:dyDescent="0.2">
      <c r="B30" s="430" t="s">
        <v>188</v>
      </c>
      <c r="C30" s="423">
        <v>0</v>
      </c>
      <c r="D30" s="423">
        <v>0</v>
      </c>
      <c r="E30" s="423">
        <v>0</v>
      </c>
      <c r="F30" s="423">
        <v>0</v>
      </c>
      <c r="G30" s="423">
        <v>0</v>
      </c>
      <c r="H30" s="423">
        <v>0</v>
      </c>
      <c r="I30" s="423">
        <v>0</v>
      </c>
      <c r="J30" s="431">
        <v>0</v>
      </c>
    </row>
    <row r="31" spans="2:10" x14ac:dyDescent="0.2">
      <c r="B31" s="430" t="s">
        <v>189</v>
      </c>
      <c r="C31" s="423">
        <v>0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31">
        <v>0</v>
      </c>
    </row>
    <row r="32" spans="2:10" x14ac:dyDescent="0.2">
      <c r="B32" s="430" t="s">
        <v>95</v>
      </c>
      <c r="C32" s="423">
        <v>0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31">
        <v>0</v>
      </c>
    </row>
    <row r="33" spans="2:10" x14ac:dyDescent="0.2">
      <c r="B33" s="430" t="s">
        <v>96</v>
      </c>
      <c r="C33" s="423">
        <v>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31">
        <v>0</v>
      </c>
    </row>
    <row r="34" spans="2:10" x14ac:dyDescent="0.2">
      <c r="B34" s="430" t="s">
        <v>190</v>
      </c>
      <c r="C34" s="423">
        <v>0</v>
      </c>
      <c r="D34" s="423">
        <v>0</v>
      </c>
      <c r="E34" s="423">
        <v>0</v>
      </c>
      <c r="F34" s="423">
        <v>0</v>
      </c>
      <c r="G34" s="423">
        <v>0</v>
      </c>
      <c r="H34" s="423">
        <v>0</v>
      </c>
      <c r="I34" s="423">
        <v>0</v>
      </c>
      <c r="J34" s="431">
        <v>0</v>
      </c>
    </row>
    <row r="35" spans="2:10" x14ac:dyDescent="0.2">
      <c r="B35" s="430" t="s">
        <v>191</v>
      </c>
      <c r="C35" s="423">
        <v>1</v>
      </c>
      <c r="D35" s="423">
        <v>3980</v>
      </c>
      <c r="E35" s="423">
        <v>50</v>
      </c>
      <c r="F35" s="423">
        <v>330</v>
      </c>
      <c r="G35" s="423">
        <v>250</v>
      </c>
      <c r="H35" s="423">
        <v>0</v>
      </c>
      <c r="I35" s="423">
        <v>1</v>
      </c>
      <c r="J35" s="431">
        <v>1</v>
      </c>
    </row>
    <row r="36" spans="2:10" ht="14.25" customHeight="1" x14ac:dyDescent="0.2">
      <c r="B36" s="434" t="s">
        <v>22</v>
      </c>
      <c r="C36" s="434">
        <f>SUM(C29:C35)</f>
        <v>3</v>
      </c>
      <c r="D36" s="434">
        <f t="shared" ref="D36:J36" si="2">SUM(D29:D35)</f>
        <v>46523</v>
      </c>
      <c r="E36" s="434">
        <f t="shared" si="2"/>
        <v>961</v>
      </c>
      <c r="F36" s="434">
        <f>SUM(F29:F35)</f>
        <v>42350</v>
      </c>
      <c r="G36" s="434">
        <f t="shared" si="2"/>
        <v>12525</v>
      </c>
      <c r="H36" s="434">
        <f t="shared" si="2"/>
        <v>3</v>
      </c>
      <c r="I36" s="434">
        <f t="shared" si="2"/>
        <v>3</v>
      </c>
      <c r="J36" s="434">
        <f t="shared" si="2"/>
        <v>3</v>
      </c>
    </row>
    <row r="37" spans="2:10" x14ac:dyDescent="0.2">
      <c r="B37" s="441" t="s">
        <v>97</v>
      </c>
      <c r="C37" s="442"/>
      <c r="D37" s="442"/>
      <c r="E37" s="442"/>
      <c r="F37" s="442"/>
      <c r="G37" s="442"/>
      <c r="H37" s="442"/>
      <c r="I37" s="442"/>
      <c r="J37" s="429"/>
    </row>
    <row r="38" spans="2:10" x14ac:dyDescent="0.2">
      <c r="B38" s="430" t="s">
        <v>98</v>
      </c>
      <c r="C38" s="423">
        <v>0</v>
      </c>
      <c r="D38" s="423">
        <v>0</v>
      </c>
      <c r="E38" s="423">
        <v>0</v>
      </c>
      <c r="F38" s="423">
        <v>0</v>
      </c>
      <c r="G38" s="423">
        <v>0</v>
      </c>
      <c r="H38" s="423">
        <v>0</v>
      </c>
      <c r="I38" s="423">
        <v>0</v>
      </c>
      <c r="J38" s="431">
        <v>0</v>
      </c>
    </row>
    <row r="39" spans="2:10" x14ac:dyDescent="0.2">
      <c r="B39" s="430" t="s">
        <v>99</v>
      </c>
      <c r="C39" s="423">
        <v>0</v>
      </c>
      <c r="D39" s="423">
        <v>0</v>
      </c>
      <c r="E39" s="423">
        <v>0</v>
      </c>
      <c r="F39" s="423">
        <v>0</v>
      </c>
      <c r="G39" s="423">
        <v>0</v>
      </c>
      <c r="H39" s="423">
        <v>0</v>
      </c>
      <c r="I39" s="423">
        <v>0</v>
      </c>
      <c r="J39" s="431">
        <v>0</v>
      </c>
    </row>
    <row r="40" spans="2:10" x14ac:dyDescent="0.2">
      <c r="B40" s="430" t="s">
        <v>100</v>
      </c>
      <c r="C40" s="423">
        <v>0</v>
      </c>
      <c r="D40" s="423">
        <v>0</v>
      </c>
      <c r="E40" s="423">
        <v>0</v>
      </c>
      <c r="F40" s="423">
        <v>0</v>
      </c>
      <c r="G40" s="423">
        <v>0</v>
      </c>
      <c r="H40" s="423">
        <v>0</v>
      </c>
      <c r="I40" s="423">
        <v>0</v>
      </c>
      <c r="J40" s="431">
        <v>0</v>
      </c>
    </row>
    <row r="41" spans="2:10" x14ac:dyDescent="0.2">
      <c r="B41" s="430" t="s">
        <v>192</v>
      </c>
      <c r="C41" s="423">
        <v>0</v>
      </c>
      <c r="D41" s="423">
        <v>0</v>
      </c>
      <c r="E41" s="423">
        <v>0</v>
      </c>
      <c r="F41" s="423">
        <v>0</v>
      </c>
      <c r="G41" s="423">
        <v>0</v>
      </c>
      <c r="H41" s="423">
        <v>0</v>
      </c>
      <c r="I41" s="423">
        <v>0</v>
      </c>
      <c r="J41" s="431">
        <v>0</v>
      </c>
    </row>
    <row r="42" spans="2:10" x14ac:dyDescent="0.2">
      <c r="B42" s="430" t="s">
        <v>193</v>
      </c>
      <c r="C42" s="423">
        <v>0</v>
      </c>
      <c r="D42" s="423">
        <v>0</v>
      </c>
      <c r="E42" s="423">
        <v>0</v>
      </c>
      <c r="F42" s="423">
        <v>0</v>
      </c>
      <c r="G42" s="423">
        <v>0</v>
      </c>
      <c r="H42" s="423">
        <v>0</v>
      </c>
      <c r="I42" s="423">
        <v>0</v>
      </c>
      <c r="J42" s="431">
        <v>0</v>
      </c>
    </row>
    <row r="43" spans="2:10" ht="13.5" customHeight="1" x14ac:dyDescent="0.2">
      <c r="B43" s="434" t="s">
        <v>22</v>
      </c>
      <c r="C43" s="434">
        <f>SUM(C38:C42)</f>
        <v>0</v>
      </c>
      <c r="D43" s="434">
        <f t="shared" ref="D43:J43" si="3">SUM(D38:D42)</f>
        <v>0</v>
      </c>
      <c r="E43" s="434">
        <f t="shared" si="3"/>
        <v>0</v>
      </c>
      <c r="F43" s="434">
        <f t="shared" si="3"/>
        <v>0</v>
      </c>
      <c r="G43" s="434">
        <f t="shared" si="3"/>
        <v>0</v>
      </c>
      <c r="H43" s="434">
        <f t="shared" si="3"/>
        <v>0</v>
      </c>
      <c r="I43" s="434">
        <f t="shared" si="3"/>
        <v>0</v>
      </c>
      <c r="J43" s="434">
        <f t="shared" si="3"/>
        <v>0</v>
      </c>
    </row>
    <row r="44" spans="2:10" x14ac:dyDescent="0.2">
      <c r="B44" s="441" t="s">
        <v>154</v>
      </c>
      <c r="C44" s="442"/>
      <c r="D44" s="442"/>
      <c r="E44" s="442"/>
      <c r="F44" s="442"/>
      <c r="G44" s="442"/>
      <c r="H44" s="442"/>
      <c r="I44" s="442"/>
      <c r="J44" s="429"/>
    </row>
    <row r="45" spans="2:10" x14ac:dyDescent="0.2">
      <c r="B45" s="430" t="s">
        <v>194</v>
      </c>
      <c r="C45" s="423">
        <v>0</v>
      </c>
      <c r="D45" s="423">
        <v>0</v>
      </c>
      <c r="E45" s="423">
        <v>0</v>
      </c>
      <c r="F45" s="423">
        <v>0</v>
      </c>
      <c r="G45" s="423">
        <v>0</v>
      </c>
      <c r="H45" s="423">
        <v>0</v>
      </c>
      <c r="I45" s="423">
        <v>0</v>
      </c>
      <c r="J45" s="431">
        <v>0</v>
      </c>
    </row>
    <row r="46" spans="2:10" x14ac:dyDescent="0.2">
      <c r="B46" s="430" t="s">
        <v>195</v>
      </c>
      <c r="C46" s="423">
        <v>0</v>
      </c>
      <c r="D46" s="423">
        <v>0</v>
      </c>
      <c r="E46" s="423">
        <v>0</v>
      </c>
      <c r="F46" s="423"/>
      <c r="G46" s="423">
        <v>0</v>
      </c>
      <c r="H46" s="423">
        <v>0</v>
      </c>
      <c r="I46" s="423">
        <v>0</v>
      </c>
      <c r="J46" s="431">
        <v>0</v>
      </c>
    </row>
    <row r="47" spans="2:10" x14ac:dyDescent="0.2">
      <c r="B47" s="430" t="s">
        <v>102</v>
      </c>
      <c r="C47" s="443">
        <v>1</v>
      </c>
      <c r="D47" s="443">
        <v>27963</v>
      </c>
      <c r="E47" s="443">
        <v>607</v>
      </c>
      <c r="F47" s="443">
        <v>11685</v>
      </c>
      <c r="G47" s="423">
        <v>17189</v>
      </c>
      <c r="H47" s="423">
        <v>2</v>
      </c>
      <c r="I47" s="423">
        <v>1</v>
      </c>
      <c r="J47" s="431">
        <v>1</v>
      </c>
    </row>
    <row r="48" spans="2:10" x14ac:dyDescent="0.2">
      <c r="B48" s="430" t="s">
        <v>196</v>
      </c>
      <c r="C48" s="423">
        <v>0</v>
      </c>
      <c r="D48" s="423">
        <v>0</v>
      </c>
      <c r="E48" s="423">
        <v>0</v>
      </c>
      <c r="F48" s="423">
        <v>0</v>
      </c>
      <c r="G48" s="423">
        <v>0</v>
      </c>
      <c r="H48" s="423">
        <v>0</v>
      </c>
      <c r="I48" s="423">
        <v>0</v>
      </c>
      <c r="J48" s="431">
        <v>0</v>
      </c>
    </row>
    <row r="49" spans="2:10" x14ac:dyDescent="0.2">
      <c r="B49" s="430" t="s">
        <v>197</v>
      </c>
      <c r="C49" s="423">
        <v>0</v>
      </c>
      <c r="D49" s="423">
        <v>0</v>
      </c>
      <c r="E49" s="423">
        <v>0</v>
      </c>
      <c r="F49" s="423">
        <v>0</v>
      </c>
      <c r="G49" s="423">
        <v>0</v>
      </c>
      <c r="H49" s="423">
        <v>0</v>
      </c>
      <c r="I49" s="423">
        <v>0</v>
      </c>
      <c r="J49" s="431">
        <v>0</v>
      </c>
    </row>
    <row r="50" spans="2:10" x14ac:dyDescent="0.2">
      <c r="B50" s="430" t="s">
        <v>198</v>
      </c>
      <c r="C50" s="423">
        <v>0</v>
      </c>
      <c r="D50" s="423">
        <v>0</v>
      </c>
      <c r="E50" s="423">
        <v>0</v>
      </c>
      <c r="F50" s="423">
        <v>0</v>
      </c>
      <c r="G50" s="423">
        <v>0</v>
      </c>
      <c r="H50" s="423">
        <v>0</v>
      </c>
      <c r="I50" s="423">
        <v>0</v>
      </c>
      <c r="J50" s="431">
        <v>0</v>
      </c>
    </row>
    <row r="51" spans="2:10" ht="15" customHeight="1" x14ac:dyDescent="0.2">
      <c r="B51" s="434" t="s">
        <v>22</v>
      </c>
      <c r="C51" s="434">
        <f>SUM(C45:C50)</f>
        <v>1</v>
      </c>
      <c r="D51" s="434">
        <f t="shared" ref="D51:J51" si="4">SUM(D45:D50)</f>
        <v>27963</v>
      </c>
      <c r="E51" s="434">
        <f t="shared" si="4"/>
        <v>607</v>
      </c>
      <c r="F51" s="434">
        <f t="shared" si="4"/>
        <v>11685</v>
      </c>
      <c r="G51" s="434">
        <f t="shared" si="4"/>
        <v>17189</v>
      </c>
      <c r="H51" s="434">
        <f t="shared" si="4"/>
        <v>2</v>
      </c>
      <c r="I51" s="434">
        <f t="shared" si="4"/>
        <v>1</v>
      </c>
      <c r="J51" s="434">
        <f t="shared" si="4"/>
        <v>1</v>
      </c>
    </row>
    <row r="52" spans="2:10" x14ac:dyDescent="0.2">
      <c r="B52" s="423"/>
      <c r="C52" s="423"/>
      <c r="D52" s="423"/>
      <c r="E52" s="423"/>
      <c r="F52" s="423"/>
      <c r="G52" s="423"/>
      <c r="H52" s="423"/>
      <c r="I52" s="423"/>
      <c r="J52" s="423"/>
    </row>
    <row r="53" spans="2:10" x14ac:dyDescent="0.2">
      <c r="B53" s="423"/>
      <c r="C53" s="423"/>
      <c r="D53" s="423"/>
      <c r="E53" s="423"/>
      <c r="F53" s="423"/>
      <c r="G53" s="423"/>
      <c r="H53" s="423"/>
      <c r="I53" s="423"/>
      <c r="J53" s="423"/>
    </row>
    <row r="54" spans="2:10" x14ac:dyDescent="0.2">
      <c r="B54" s="423"/>
      <c r="C54" s="423"/>
      <c r="D54" s="423"/>
      <c r="E54" s="423"/>
      <c r="F54" s="423"/>
      <c r="G54" s="423"/>
      <c r="H54" s="423"/>
      <c r="I54" s="423"/>
      <c r="J54" s="423"/>
    </row>
    <row r="55" spans="2:10" x14ac:dyDescent="0.2">
      <c r="B55" s="423"/>
      <c r="C55" s="423"/>
      <c r="D55" s="423"/>
      <c r="E55" s="423"/>
      <c r="F55" s="423"/>
      <c r="G55" s="423"/>
      <c r="H55" s="423"/>
      <c r="I55" s="423"/>
      <c r="J55" s="423"/>
    </row>
    <row r="56" spans="2:10" x14ac:dyDescent="0.2">
      <c r="B56" s="423"/>
      <c r="C56" s="423"/>
      <c r="D56" s="423"/>
      <c r="E56" s="423"/>
      <c r="F56" s="423"/>
      <c r="G56" s="423"/>
      <c r="H56" s="423"/>
      <c r="I56" s="423"/>
      <c r="J56" s="423"/>
    </row>
    <row r="57" spans="2:10" x14ac:dyDescent="0.2">
      <c r="B57" s="423"/>
      <c r="C57" s="423"/>
      <c r="D57" s="423"/>
      <c r="E57" s="423"/>
      <c r="F57" s="423"/>
      <c r="G57" s="423"/>
      <c r="H57" s="423"/>
      <c r="I57" s="423"/>
      <c r="J57" s="423"/>
    </row>
    <row r="58" spans="2:10" x14ac:dyDescent="0.2">
      <c r="B58" s="423"/>
      <c r="C58" s="42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2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23"/>
      <c r="D60" s="423"/>
      <c r="E60" s="423"/>
      <c r="F60" s="423"/>
      <c r="G60" s="423"/>
      <c r="H60" s="423"/>
      <c r="I60" s="423"/>
      <c r="J60" s="423"/>
    </row>
    <row r="61" spans="2:10" x14ac:dyDescent="0.2">
      <c r="B61" s="443"/>
      <c r="C61" s="423"/>
      <c r="D61" s="423"/>
      <c r="E61" s="423"/>
      <c r="F61" s="423"/>
      <c r="G61" s="423"/>
      <c r="H61" s="423"/>
      <c r="I61" s="423"/>
      <c r="J61" s="423"/>
    </row>
    <row r="62" spans="2:10" s="175" customFormat="1" ht="15.75" x14ac:dyDescent="0.25">
      <c r="B62" s="1006"/>
      <c r="C62" s="1006"/>
      <c r="D62" s="1006"/>
      <c r="E62" s="1006"/>
      <c r="F62" s="1006"/>
      <c r="G62" s="1006"/>
      <c r="H62" s="1006"/>
      <c r="I62" s="1006"/>
      <c r="J62" s="1006"/>
    </row>
    <row r="63" spans="2:10" s="175" customFormat="1" ht="15.75" x14ac:dyDescent="0.25">
      <c r="B63" s="444"/>
      <c r="C63" s="176"/>
      <c r="D63" s="176"/>
      <c r="E63" s="176"/>
      <c r="F63" s="176"/>
      <c r="G63" s="176"/>
      <c r="H63" s="176"/>
      <c r="I63" s="1006"/>
      <c r="J63" s="1006"/>
    </row>
    <row r="64" spans="2:10" s="175" customFormat="1" ht="15.75" x14ac:dyDescent="0.25">
      <c r="B64" s="444"/>
      <c r="C64" s="176"/>
      <c r="D64" s="176"/>
      <c r="E64" s="176"/>
      <c r="F64" s="176"/>
      <c r="G64" s="176"/>
      <c r="H64" s="176"/>
      <c r="I64" s="557"/>
      <c r="J64" s="557"/>
    </row>
    <row r="65" spans="2:12" s="175" customFormat="1" ht="15.75" x14ac:dyDescent="0.25">
      <c r="B65" s="444"/>
      <c r="C65" s="176"/>
      <c r="D65" s="176"/>
      <c r="E65" s="176"/>
      <c r="F65" s="176"/>
      <c r="G65" s="176"/>
      <c r="H65" s="176"/>
      <c r="I65" s="503"/>
      <c r="J65" s="503"/>
    </row>
    <row r="66" spans="2:12" s="175" customFormat="1" ht="15.75" x14ac:dyDescent="0.25">
      <c r="B66" s="1008"/>
      <c r="C66" s="1008"/>
      <c r="D66" s="1008"/>
      <c r="E66" s="1008"/>
      <c r="F66" s="1008"/>
      <c r="G66" s="1008"/>
      <c r="H66" s="1008"/>
      <c r="I66" s="1008"/>
      <c r="J66" s="1008"/>
    </row>
    <row r="67" spans="2:12" s="425" customFormat="1" ht="11.25" x14ac:dyDescent="0.2">
      <c r="B67" s="968" t="s">
        <v>84</v>
      </c>
      <c r="C67" s="968" t="s">
        <v>85</v>
      </c>
      <c r="D67" s="968" t="s">
        <v>67</v>
      </c>
      <c r="E67" s="968" t="s">
        <v>68</v>
      </c>
      <c r="F67" s="968" t="s">
        <v>69</v>
      </c>
      <c r="G67" s="968" t="s">
        <v>70</v>
      </c>
      <c r="H67" s="968" t="s">
        <v>222</v>
      </c>
      <c r="I67" s="1001" t="s">
        <v>223</v>
      </c>
      <c r="J67" s="1002"/>
      <c r="K67" s="424"/>
      <c r="L67" s="424"/>
    </row>
    <row r="68" spans="2:12" s="425" customFormat="1" ht="11.25" x14ac:dyDescent="0.2">
      <c r="B68" s="969"/>
      <c r="C68" s="969"/>
      <c r="D68" s="969"/>
      <c r="E68" s="969"/>
      <c r="F68" s="969"/>
      <c r="G68" s="969"/>
      <c r="H68" s="969"/>
      <c r="I68" s="1003"/>
      <c r="J68" s="1004"/>
      <c r="K68" s="424"/>
      <c r="L68" s="424"/>
    </row>
    <row r="69" spans="2:12" s="425" customFormat="1" ht="11.25" x14ac:dyDescent="0.2">
      <c r="B69" s="970"/>
      <c r="C69" s="970"/>
      <c r="D69" s="970"/>
      <c r="E69" s="970"/>
      <c r="F69" s="970"/>
      <c r="G69" s="970"/>
      <c r="H69" s="970"/>
      <c r="I69" s="426" t="s">
        <v>73</v>
      </c>
      <c r="J69" s="427" t="s">
        <v>86</v>
      </c>
      <c r="K69" s="424"/>
      <c r="L69" s="424"/>
    </row>
    <row r="70" spans="2:12" x14ac:dyDescent="0.2">
      <c r="B70" s="445">
        <v>1</v>
      </c>
      <c r="C70" s="436">
        <v>2</v>
      </c>
      <c r="D70" s="446">
        <v>3</v>
      </c>
      <c r="E70" s="436">
        <v>4</v>
      </c>
      <c r="F70" s="436">
        <v>5</v>
      </c>
      <c r="G70" s="436">
        <v>6</v>
      </c>
      <c r="H70" s="436">
        <v>7</v>
      </c>
      <c r="I70" s="436">
        <v>8</v>
      </c>
      <c r="J70" s="436">
        <v>9</v>
      </c>
      <c r="K70" s="437"/>
      <c r="L70" s="437"/>
    </row>
    <row r="71" spans="2:12" ht="13.5" customHeight="1" x14ac:dyDescent="0.2">
      <c r="B71" s="441" t="s">
        <v>155</v>
      </c>
      <c r="C71" s="442"/>
      <c r="D71" s="442"/>
      <c r="E71" s="442"/>
      <c r="F71" s="442"/>
      <c r="G71" s="442"/>
      <c r="H71" s="442"/>
      <c r="I71" s="442"/>
      <c r="J71" s="429"/>
      <c r="K71" s="437"/>
      <c r="L71" s="437"/>
    </row>
    <row r="72" spans="2:12" x14ac:dyDescent="0.2">
      <c r="B72" s="430" t="s">
        <v>199</v>
      </c>
      <c r="C72" s="423">
        <v>0</v>
      </c>
      <c r="D72" s="423">
        <v>0</v>
      </c>
      <c r="E72" s="423">
        <v>0</v>
      </c>
      <c r="F72" s="423">
        <v>0</v>
      </c>
      <c r="G72" s="423">
        <v>0</v>
      </c>
      <c r="H72" s="423">
        <v>0</v>
      </c>
      <c r="I72" s="423">
        <v>0</v>
      </c>
      <c r="J72" s="431">
        <v>0</v>
      </c>
      <c r="K72" s="437"/>
      <c r="L72" s="437"/>
    </row>
    <row r="73" spans="2:12" x14ac:dyDescent="0.2">
      <c r="B73" s="430" t="s">
        <v>200</v>
      </c>
      <c r="C73" s="423">
        <v>0</v>
      </c>
      <c r="D73" s="423">
        <v>0</v>
      </c>
      <c r="E73" s="423">
        <v>0</v>
      </c>
      <c r="F73" s="423">
        <v>0</v>
      </c>
      <c r="G73" s="423">
        <v>0</v>
      </c>
      <c r="H73" s="423">
        <v>0</v>
      </c>
      <c r="I73" s="423">
        <v>0</v>
      </c>
      <c r="J73" s="431">
        <v>0</v>
      </c>
      <c r="K73" s="437"/>
      <c r="L73" s="437"/>
    </row>
    <row r="74" spans="2:12" x14ac:dyDescent="0.2">
      <c r="B74" s="430" t="s">
        <v>201</v>
      </c>
      <c r="C74" s="423">
        <v>0</v>
      </c>
      <c r="D74" s="423">
        <v>0</v>
      </c>
      <c r="E74" s="423">
        <v>0</v>
      </c>
      <c r="F74" s="423">
        <v>0</v>
      </c>
      <c r="G74" s="423">
        <v>0</v>
      </c>
      <c r="H74" s="423">
        <v>0</v>
      </c>
      <c r="I74" s="423">
        <v>0</v>
      </c>
      <c r="J74" s="431">
        <v>0</v>
      </c>
      <c r="K74" s="437"/>
      <c r="L74" s="437"/>
    </row>
    <row r="75" spans="2:12" x14ac:dyDescent="0.2">
      <c r="B75" s="430" t="s">
        <v>202</v>
      </c>
      <c r="C75" s="423">
        <v>0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31">
        <v>0</v>
      </c>
      <c r="K75" s="437"/>
      <c r="L75" s="437"/>
    </row>
    <row r="76" spans="2:12" x14ac:dyDescent="0.2">
      <c r="B76" s="430" t="s">
        <v>203</v>
      </c>
      <c r="C76" s="423">
        <v>0</v>
      </c>
      <c r="D76" s="423">
        <v>0</v>
      </c>
      <c r="E76" s="423">
        <v>0</v>
      </c>
      <c r="F76" s="423">
        <v>0</v>
      </c>
      <c r="G76" s="423">
        <v>0</v>
      </c>
      <c r="H76" s="423">
        <v>0</v>
      </c>
      <c r="I76" s="423">
        <v>0</v>
      </c>
      <c r="J76" s="431">
        <v>0</v>
      </c>
      <c r="K76" s="437"/>
      <c r="L76" s="437"/>
    </row>
    <row r="77" spans="2:12" x14ac:dyDescent="0.2">
      <c r="B77" s="430" t="s">
        <v>104</v>
      </c>
      <c r="C77" s="443">
        <v>1</v>
      </c>
      <c r="D77" s="443">
        <v>27456</v>
      </c>
      <c r="E77" s="443">
        <v>340</v>
      </c>
      <c r="F77" s="443">
        <v>2995</v>
      </c>
      <c r="G77" s="423">
        <v>5656</v>
      </c>
      <c r="H77" s="423">
        <v>1</v>
      </c>
      <c r="I77" s="423">
        <v>1</v>
      </c>
      <c r="J77" s="431">
        <v>1</v>
      </c>
      <c r="K77" s="437"/>
      <c r="L77" s="437"/>
    </row>
    <row r="78" spans="2:12" x14ac:dyDescent="0.2">
      <c r="B78" s="430" t="s">
        <v>204</v>
      </c>
      <c r="C78" s="423">
        <v>0</v>
      </c>
      <c r="D78" s="423">
        <v>0</v>
      </c>
      <c r="E78" s="423">
        <v>0</v>
      </c>
      <c r="F78" s="423">
        <v>0</v>
      </c>
      <c r="G78" s="423">
        <v>0</v>
      </c>
      <c r="H78" s="423">
        <v>0</v>
      </c>
      <c r="I78" s="423">
        <v>0</v>
      </c>
      <c r="J78" s="431">
        <v>0</v>
      </c>
      <c r="K78" s="437"/>
      <c r="L78" s="437"/>
    </row>
    <row r="79" spans="2:12" ht="12.75" customHeight="1" x14ac:dyDescent="0.2">
      <c r="B79" s="473" t="s">
        <v>22</v>
      </c>
      <c r="C79" s="474">
        <f>SUM(C72:C78)</f>
        <v>1</v>
      </c>
      <c r="D79" s="434">
        <f t="shared" ref="D79:J79" si="5">SUM(D72:D78)</f>
        <v>27456</v>
      </c>
      <c r="E79" s="434">
        <f t="shared" si="5"/>
        <v>340</v>
      </c>
      <c r="F79" s="434">
        <f t="shared" si="5"/>
        <v>2995</v>
      </c>
      <c r="G79" s="434">
        <f t="shared" si="5"/>
        <v>5656</v>
      </c>
      <c r="H79" s="434">
        <f t="shared" si="5"/>
        <v>1</v>
      </c>
      <c r="I79" s="434">
        <f t="shared" si="5"/>
        <v>1</v>
      </c>
      <c r="J79" s="434">
        <f t="shared" si="5"/>
        <v>1</v>
      </c>
      <c r="K79" s="437"/>
      <c r="L79" s="437"/>
    </row>
    <row r="80" spans="2:12" x14ac:dyDescent="0.2">
      <c r="B80" s="428" t="s">
        <v>156</v>
      </c>
      <c r="C80" s="423"/>
      <c r="D80" s="423"/>
      <c r="E80" s="423"/>
      <c r="F80" s="423"/>
      <c r="G80" s="423"/>
      <c r="H80" s="423"/>
      <c r="I80" s="423"/>
      <c r="J80" s="431"/>
    </row>
    <row r="81" spans="2:10" x14ac:dyDescent="0.2">
      <c r="B81" s="430" t="s">
        <v>205</v>
      </c>
      <c r="C81" s="423">
        <v>0</v>
      </c>
      <c r="D81" s="423">
        <v>0</v>
      </c>
      <c r="E81" s="423">
        <v>0</v>
      </c>
      <c r="F81" s="423">
        <v>0</v>
      </c>
      <c r="G81" s="423">
        <v>0</v>
      </c>
      <c r="H81" s="423">
        <v>0</v>
      </c>
      <c r="I81" s="423">
        <v>0</v>
      </c>
      <c r="J81" s="431">
        <v>0</v>
      </c>
    </row>
    <row r="82" spans="2:10" x14ac:dyDescent="0.2">
      <c r="B82" s="430" t="s">
        <v>106</v>
      </c>
      <c r="C82" s="423">
        <v>0</v>
      </c>
      <c r="D82" s="423">
        <v>0</v>
      </c>
      <c r="E82" s="423">
        <v>0</v>
      </c>
      <c r="F82" s="423">
        <v>0</v>
      </c>
      <c r="G82" s="423">
        <v>0</v>
      </c>
      <c r="H82" s="423">
        <v>0</v>
      </c>
      <c r="I82" s="423">
        <v>0</v>
      </c>
      <c r="J82" s="431">
        <v>0</v>
      </c>
    </row>
    <row r="83" spans="2:10" x14ac:dyDescent="0.2">
      <c r="B83" s="430" t="s">
        <v>206</v>
      </c>
      <c r="C83" s="423">
        <v>0</v>
      </c>
      <c r="D83" s="423">
        <v>0</v>
      </c>
      <c r="E83" s="423">
        <v>0</v>
      </c>
      <c r="F83" s="423">
        <v>0</v>
      </c>
      <c r="G83" s="423">
        <v>0</v>
      </c>
      <c r="H83" s="423">
        <v>0</v>
      </c>
      <c r="I83" s="423">
        <v>0</v>
      </c>
      <c r="J83" s="431">
        <v>0</v>
      </c>
    </row>
    <row r="84" spans="2:10" x14ac:dyDescent="0.2">
      <c r="B84" s="430" t="s">
        <v>207</v>
      </c>
      <c r="C84" s="423">
        <f>SUM([1]VALST_GB!B85+[1]NEVALST_GB!B85+[1]VALST_VIDMB!B85+[1]VALST_PgMB!B85)</f>
        <v>0</v>
      </c>
      <c r="D84" s="423">
        <f>SUM([1]VALST_GB!C85+[1]NEVALST_GB!C85+[1]VALST_VIDMB!C85+[1]VALST_PgMB!C85)</f>
        <v>0</v>
      </c>
      <c r="E84" s="423">
        <f>SUM([1]VALST_GB!D85+[1]NEVALST_GB!D85+[1]VALST_VIDMB!D85+[1]VALST_PgMB!D85)</f>
        <v>0</v>
      </c>
      <c r="F84" s="423">
        <f>SUM([1]VALST_GB!E85+[1]NEVALST_GB!E85+[1]VALST_VIDMB!E85+[1]VALST_PgMB!E85)</f>
        <v>0</v>
      </c>
      <c r="G84" s="423">
        <f>SUM([1]VALST_GB!F85+[1]NEVALST_GB!F85+[1]VALST_VIDMB!F85+[1]VALST_PgMB!F85)</f>
        <v>0</v>
      </c>
      <c r="H84" s="423">
        <f>SUM([1]VALST_GB!G85+[1]NEVALST_GB!G85+[1]VALST_VIDMB!G85+[1]VALST_PgMB!G85)</f>
        <v>0</v>
      </c>
      <c r="I84" s="423">
        <f>SUM([1]VALST_GB!H85+[1]NEVALST_GB!H85+[1]VALST_VIDMB!H85+[1]VALST_PgMB!H85)</f>
        <v>0</v>
      </c>
      <c r="J84" s="431">
        <f>SUM([1]VALST_GB!I85+[1]NEVALST_GB!I85+[1]VALST_VIDMB!I85+[1]VALST_PgMB!I85)</f>
        <v>0</v>
      </c>
    </row>
    <row r="85" spans="2:10" ht="14.25" customHeight="1" x14ac:dyDescent="0.2">
      <c r="B85" s="434" t="s">
        <v>22</v>
      </c>
      <c r="C85" s="434">
        <f>SUM(C81:C84)</f>
        <v>0</v>
      </c>
      <c r="D85" s="434">
        <f>SUM(D81:D84)</f>
        <v>0</v>
      </c>
      <c r="E85" s="434">
        <f t="shared" ref="E85:J85" si="6">SUM(E81:E84)</f>
        <v>0</v>
      </c>
      <c r="F85" s="434">
        <f t="shared" si="6"/>
        <v>0</v>
      </c>
      <c r="G85" s="434">
        <f t="shared" si="6"/>
        <v>0</v>
      </c>
      <c r="H85" s="434">
        <f t="shared" si="6"/>
        <v>0</v>
      </c>
      <c r="I85" s="434">
        <f t="shared" si="6"/>
        <v>0</v>
      </c>
      <c r="J85" s="434">
        <f t="shared" si="6"/>
        <v>0</v>
      </c>
    </row>
    <row r="86" spans="2:10" x14ac:dyDescent="0.2">
      <c r="B86" s="441" t="s">
        <v>157</v>
      </c>
      <c r="C86" s="442"/>
      <c r="D86" s="442"/>
      <c r="E86" s="442"/>
      <c r="F86" s="442"/>
      <c r="G86" s="442"/>
      <c r="H86" s="442"/>
      <c r="I86" s="442"/>
      <c r="J86" s="429"/>
    </row>
    <row r="87" spans="2:10" x14ac:dyDescent="0.2">
      <c r="B87" s="430" t="s">
        <v>208</v>
      </c>
      <c r="C87" s="423">
        <v>0</v>
      </c>
      <c r="D87" s="423">
        <v>0</v>
      </c>
      <c r="E87" s="423">
        <v>0</v>
      </c>
      <c r="F87" s="423">
        <v>0</v>
      </c>
      <c r="G87" s="423">
        <v>0</v>
      </c>
      <c r="H87" s="423">
        <v>0</v>
      </c>
      <c r="I87" s="423">
        <v>0</v>
      </c>
      <c r="J87" s="431">
        <v>0</v>
      </c>
    </row>
    <row r="88" spans="2:10" x14ac:dyDescent="0.2">
      <c r="B88" s="430" t="s">
        <v>209</v>
      </c>
      <c r="C88" s="423">
        <v>0</v>
      </c>
      <c r="D88" s="423">
        <v>0</v>
      </c>
      <c r="E88" s="423">
        <v>0</v>
      </c>
      <c r="F88" s="423">
        <v>0</v>
      </c>
      <c r="G88" s="423">
        <v>0</v>
      </c>
      <c r="H88" s="423">
        <v>0</v>
      </c>
      <c r="I88" s="423">
        <v>0</v>
      </c>
      <c r="J88" s="431">
        <v>0</v>
      </c>
    </row>
    <row r="89" spans="2:10" x14ac:dyDescent="0.2">
      <c r="B89" s="430" t="s">
        <v>108</v>
      </c>
      <c r="C89" s="423">
        <v>0</v>
      </c>
      <c r="D89" s="423">
        <v>0</v>
      </c>
      <c r="E89" s="423">
        <v>0</v>
      </c>
      <c r="F89" s="423">
        <v>0</v>
      </c>
      <c r="G89" s="423">
        <v>0</v>
      </c>
      <c r="H89" s="423">
        <v>0</v>
      </c>
      <c r="I89" s="423">
        <v>0</v>
      </c>
      <c r="J89" s="431">
        <v>0</v>
      </c>
    </row>
    <row r="90" spans="2:10" x14ac:dyDescent="0.2">
      <c r="B90" s="430" t="s">
        <v>210</v>
      </c>
      <c r="C90" s="423">
        <v>0</v>
      </c>
      <c r="D90" s="423">
        <v>0</v>
      </c>
      <c r="E90" s="423">
        <v>0</v>
      </c>
      <c r="F90" s="423">
        <v>0</v>
      </c>
      <c r="G90" s="423">
        <v>0</v>
      </c>
      <c r="H90" s="423">
        <v>0</v>
      </c>
      <c r="I90" s="423">
        <v>0</v>
      </c>
      <c r="J90" s="431">
        <v>0</v>
      </c>
    </row>
    <row r="91" spans="2:10" ht="13.5" customHeight="1" x14ac:dyDescent="0.2">
      <c r="B91" s="434" t="s">
        <v>22</v>
      </c>
      <c r="C91" s="434">
        <f>SUM(C87:C90)</f>
        <v>0</v>
      </c>
      <c r="D91" s="434">
        <f t="shared" ref="D91:J91" si="7">SUM(D87:D90)</f>
        <v>0</v>
      </c>
      <c r="E91" s="434">
        <f t="shared" si="7"/>
        <v>0</v>
      </c>
      <c r="F91" s="434">
        <f t="shared" si="7"/>
        <v>0</v>
      </c>
      <c r="G91" s="434">
        <f t="shared" si="7"/>
        <v>0</v>
      </c>
      <c r="H91" s="434">
        <f t="shared" si="7"/>
        <v>0</v>
      </c>
      <c r="I91" s="434">
        <f t="shared" si="7"/>
        <v>0</v>
      </c>
      <c r="J91" s="434">
        <f t="shared" si="7"/>
        <v>0</v>
      </c>
    </row>
    <row r="92" spans="2:10" x14ac:dyDescent="0.2">
      <c r="B92" s="441" t="s">
        <v>158</v>
      </c>
      <c r="C92" s="442"/>
      <c r="D92" s="442"/>
      <c r="E92" s="442"/>
      <c r="F92" s="442"/>
      <c r="G92" s="442"/>
      <c r="H92" s="442"/>
      <c r="I92" s="442"/>
      <c r="J92" s="429"/>
    </row>
    <row r="93" spans="2:10" x14ac:dyDescent="0.2">
      <c r="B93" s="430" t="s">
        <v>211</v>
      </c>
      <c r="C93" s="423">
        <v>0</v>
      </c>
      <c r="D93" s="423">
        <v>0</v>
      </c>
      <c r="E93" s="423">
        <v>0</v>
      </c>
      <c r="F93" s="423">
        <v>0</v>
      </c>
      <c r="G93" s="423">
        <v>0</v>
      </c>
      <c r="H93" s="423">
        <v>0</v>
      </c>
      <c r="I93" s="423">
        <v>0</v>
      </c>
      <c r="J93" s="431">
        <v>0</v>
      </c>
    </row>
    <row r="94" spans="2:10" x14ac:dyDescent="0.2">
      <c r="B94" s="430" t="s">
        <v>212</v>
      </c>
      <c r="C94" s="423">
        <v>0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31">
        <v>0</v>
      </c>
    </row>
    <row r="95" spans="2:10" x14ac:dyDescent="0.2">
      <c r="B95" s="430" t="s">
        <v>213</v>
      </c>
      <c r="C95" s="423">
        <v>0</v>
      </c>
      <c r="D95" s="423">
        <v>0</v>
      </c>
      <c r="E95" s="423">
        <v>0</v>
      </c>
      <c r="F95" s="423">
        <v>0</v>
      </c>
      <c r="G95" s="423">
        <v>0</v>
      </c>
      <c r="H95" s="423">
        <v>0</v>
      </c>
      <c r="I95" s="423">
        <v>0</v>
      </c>
      <c r="J95" s="431">
        <v>0</v>
      </c>
    </row>
    <row r="96" spans="2:10" x14ac:dyDescent="0.2">
      <c r="B96" s="430" t="s">
        <v>214</v>
      </c>
      <c r="C96" s="423">
        <v>0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31">
        <v>0</v>
      </c>
    </row>
    <row r="97" spans="2:10" x14ac:dyDescent="0.2">
      <c r="B97" s="430" t="s">
        <v>110</v>
      </c>
      <c r="C97" s="423">
        <v>0</v>
      </c>
      <c r="D97" s="423">
        <v>0</v>
      </c>
      <c r="E97" s="423">
        <v>0</v>
      </c>
      <c r="F97" s="423">
        <v>0</v>
      </c>
      <c r="G97" s="423">
        <v>0</v>
      </c>
      <c r="H97" s="423">
        <v>0</v>
      </c>
      <c r="I97" s="423">
        <v>0</v>
      </c>
      <c r="J97" s="431">
        <v>0</v>
      </c>
    </row>
    <row r="98" spans="2:10" x14ac:dyDescent="0.2">
      <c r="B98" s="430" t="s">
        <v>215</v>
      </c>
      <c r="C98" s="423">
        <v>0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31">
        <v>0</v>
      </c>
    </row>
    <row r="99" spans="2:10" ht="14.25" customHeight="1" x14ac:dyDescent="0.2">
      <c r="B99" s="434" t="s">
        <v>22</v>
      </c>
      <c r="C99" s="434">
        <f>SUM(C93:C98)</f>
        <v>0</v>
      </c>
      <c r="D99" s="434">
        <f t="shared" ref="D99:J99" si="8">SUM(D93:D98)</f>
        <v>0</v>
      </c>
      <c r="E99" s="434">
        <f t="shared" si="8"/>
        <v>0</v>
      </c>
      <c r="F99" s="434">
        <f t="shared" si="8"/>
        <v>0</v>
      </c>
      <c r="G99" s="434">
        <f t="shared" si="8"/>
        <v>0</v>
      </c>
      <c r="H99" s="434">
        <f t="shared" si="8"/>
        <v>0</v>
      </c>
      <c r="I99" s="434">
        <f t="shared" si="8"/>
        <v>0</v>
      </c>
      <c r="J99" s="434">
        <f t="shared" si="8"/>
        <v>0</v>
      </c>
    </row>
    <row r="100" spans="2:10" x14ac:dyDescent="0.2">
      <c r="B100" s="441" t="s">
        <v>159</v>
      </c>
      <c r="C100" s="442"/>
      <c r="D100" s="442"/>
      <c r="E100" s="442"/>
      <c r="F100" s="442"/>
      <c r="G100" s="442"/>
      <c r="H100" s="442"/>
      <c r="I100" s="442"/>
      <c r="J100" s="429"/>
    </row>
    <row r="101" spans="2:10" x14ac:dyDescent="0.2">
      <c r="B101" s="430" t="s">
        <v>112</v>
      </c>
      <c r="C101" s="423">
        <v>0</v>
      </c>
      <c r="D101" s="423">
        <v>0</v>
      </c>
      <c r="E101" s="423">
        <v>0</v>
      </c>
      <c r="F101" s="423">
        <v>0</v>
      </c>
      <c r="G101" s="423">
        <v>0</v>
      </c>
      <c r="H101" s="423">
        <v>0</v>
      </c>
      <c r="I101" s="423">
        <v>0</v>
      </c>
      <c r="J101" s="431">
        <v>0</v>
      </c>
    </row>
    <row r="102" spans="2:10" x14ac:dyDescent="0.2">
      <c r="B102" s="430" t="s">
        <v>216</v>
      </c>
      <c r="C102" s="423">
        <f>SUM(VALST_PGMB!C23, VALST_GB!C25)</f>
        <v>3</v>
      </c>
      <c r="D102" s="423">
        <f>SUM(VALST_PGMB!D23, VALST_GB!D25)</f>
        <v>21913</v>
      </c>
      <c r="E102" s="423">
        <f>SUM(VALST_PGMB!E23, VALST_GB!E25)</f>
        <v>409</v>
      </c>
      <c r="F102" s="423">
        <f>SUM(VALST_PGMB!F23, VALST_GB!F25)</f>
        <v>3730</v>
      </c>
      <c r="G102" s="423">
        <f>SUM(VALST_PGMB!G23, VALST_GB!G25)</f>
        <v>1777</v>
      </c>
      <c r="H102" s="423">
        <f>SUM(VALST_PGMB!H23, VALST_GB!H25)</f>
        <v>4</v>
      </c>
      <c r="I102" s="423">
        <f>SUM(VALST_PGMB!I23, VALST_GB!I25)</f>
        <v>3</v>
      </c>
      <c r="J102" s="431">
        <f>SUM(VALST_PGMB!J23, VALST_GB!J25)</f>
        <v>3</v>
      </c>
    </row>
    <row r="103" spans="2:10" x14ac:dyDescent="0.2">
      <c r="B103" s="430" t="s">
        <v>217</v>
      </c>
      <c r="C103" s="423">
        <v>0</v>
      </c>
      <c r="D103" s="423">
        <v>0</v>
      </c>
      <c r="E103" s="423">
        <v>0</v>
      </c>
      <c r="F103" s="423">
        <v>0</v>
      </c>
      <c r="G103" s="423">
        <v>0</v>
      </c>
      <c r="H103" s="423">
        <v>0</v>
      </c>
      <c r="I103" s="423">
        <v>0</v>
      </c>
      <c r="J103" s="431">
        <v>0</v>
      </c>
    </row>
    <row r="104" spans="2:10" x14ac:dyDescent="0.2">
      <c r="B104" s="430" t="s">
        <v>218</v>
      </c>
      <c r="C104" s="423">
        <v>0</v>
      </c>
      <c r="D104" s="423">
        <v>0</v>
      </c>
      <c r="E104" s="423">
        <v>0</v>
      </c>
      <c r="F104" s="423">
        <v>0</v>
      </c>
      <c r="G104" s="423">
        <v>0</v>
      </c>
      <c r="H104" s="423">
        <v>0</v>
      </c>
      <c r="I104" s="423">
        <v>0</v>
      </c>
      <c r="J104" s="431">
        <v>0</v>
      </c>
    </row>
    <row r="105" spans="2:10" x14ac:dyDescent="0.2">
      <c r="B105" s="430" t="s">
        <v>219</v>
      </c>
      <c r="C105" s="423">
        <v>0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31">
        <v>0</v>
      </c>
    </row>
    <row r="106" spans="2:10" x14ac:dyDescent="0.2">
      <c r="B106" s="430" t="s">
        <v>220</v>
      </c>
      <c r="C106" s="423">
        <v>0</v>
      </c>
      <c r="D106" s="423">
        <v>0</v>
      </c>
      <c r="E106" s="423">
        <v>0</v>
      </c>
      <c r="F106" s="423">
        <v>0</v>
      </c>
      <c r="G106" s="423">
        <v>0</v>
      </c>
      <c r="H106" s="423">
        <v>0</v>
      </c>
      <c r="I106" s="423">
        <v>0</v>
      </c>
      <c r="J106" s="431">
        <v>0</v>
      </c>
    </row>
    <row r="107" spans="2:10" x14ac:dyDescent="0.2">
      <c r="B107" s="430" t="s">
        <v>113</v>
      </c>
      <c r="C107" s="423">
        <f>SUM(VALST_PGMB!C24, VALST_GB!C26)</f>
        <v>6</v>
      </c>
      <c r="D107" s="423">
        <f>SUM(VALST_PGMB!D24, VALST_GB!D26)</f>
        <v>188543</v>
      </c>
      <c r="E107" s="423">
        <f>SUM(VALST_PGMB!E24, VALST_GB!E26)</f>
        <v>3339</v>
      </c>
      <c r="F107" s="423">
        <f>SUM(VALST_PGMB!F24, VALST_GB!F26)</f>
        <v>98720</v>
      </c>
      <c r="G107" s="423">
        <f>SUM(VALST_PGMB!G24, VALST_GB!G26)</f>
        <v>57275</v>
      </c>
      <c r="H107" s="423">
        <f>SUM(VALST_PGMB!H24, VALST_GB!H26)</f>
        <v>12</v>
      </c>
      <c r="I107" s="423">
        <f>SUM(VALST_PGMB!I24, VALST_GB!I26)</f>
        <v>6</v>
      </c>
      <c r="J107" s="431">
        <f>SUM(VALST_PGMB!J24, VALST_GB!J26)</f>
        <v>6</v>
      </c>
    </row>
    <row r="108" spans="2:10" x14ac:dyDescent="0.2">
      <c r="B108" s="430" t="s">
        <v>221</v>
      </c>
      <c r="C108" s="423">
        <f>SUM(VALST_PGMB!C25, VALST_GB!C27)</f>
        <v>5</v>
      </c>
      <c r="D108" s="423">
        <f>SUM(VALST_PGMB!D25, VALST_GB!D27)</f>
        <v>55242</v>
      </c>
      <c r="E108" s="423">
        <f>SUM(VALST_PGMB!E25, VALST_GB!E27)</f>
        <v>1167</v>
      </c>
      <c r="F108" s="423">
        <f>SUM(VALST_PGMB!F25, VALST_GB!F27)</f>
        <v>10334</v>
      </c>
      <c r="G108" s="423">
        <f>SUM(VALST_PGMB!G25, VALST_GB!G27)</f>
        <v>7894</v>
      </c>
      <c r="H108" s="423">
        <f>SUM(VALST_PGMB!H25, VALST_GB!H27)</f>
        <v>4</v>
      </c>
      <c r="I108" s="423">
        <f>SUM(VALST_PGMB!I25, VALST_GB!I27)</f>
        <v>5</v>
      </c>
      <c r="J108" s="433">
        <f>SUM(VALST_PGMB!J25, VALST_GB!J27)</f>
        <v>5</v>
      </c>
    </row>
    <row r="109" spans="2:10" ht="14.25" customHeight="1" x14ac:dyDescent="0.2">
      <c r="B109" s="434" t="s">
        <v>22</v>
      </c>
      <c r="C109" s="434">
        <f>SUM(C101:C108)</f>
        <v>14</v>
      </c>
      <c r="D109" s="434">
        <f t="shared" ref="D109:J109" si="9">SUM(D101:D108)</f>
        <v>265698</v>
      </c>
      <c r="E109" s="434">
        <f>SUM(E101:E108)</f>
        <v>4915</v>
      </c>
      <c r="F109" s="434">
        <f t="shared" si="9"/>
        <v>112784</v>
      </c>
      <c r="G109" s="434">
        <f t="shared" si="9"/>
        <v>66946</v>
      </c>
      <c r="H109" s="434">
        <f t="shared" si="9"/>
        <v>20</v>
      </c>
      <c r="I109" s="434">
        <f t="shared" si="9"/>
        <v>14</v>
      </c>
      <c r="J109" s="434">
        <f t="shared" si="9"/>
        <v>14</v>
      </c>
    </row>
    <row r="110" spans="2:10" ht="18" customHeight="1" x14ac:dyDescent="0.2">
      <c r="B110" s="447" t="s">
        <v>115</v>
      </c>
      <c r="C110" s="447">
        <f t="shared" ref="C110:J110" si="10">C17+C27+C36+C43+C51+C79+C85+C91+C99+C109</f>
        <v>24</v>
      </c>
      <c r="D110" s="447">
        <f t="shared" si="10"/>
        <v>435659</v>
      </c>
      <c r="E110" s="447">
        <f t="shared" si="10"/>
        <v>8263</v>
      </c>
      <c r="F110" s="447">
        <f t="shared" si="10"/>
        <v>186547</v>
      </c>
      <c r="G110" s="447">
        <f t="shared" si="10"/>
        <v>114835</v>
      </c>
      <c r="H110" s="447">
        <f t="shared" si="10"/>
        <v>34</v>
      </c>
      <c r="I110" s="447">
        <f t="shared" si="10"/>
        <v>23</v>
      </c>
      <c r="J110" s="447">
        <f t="shared" si="10"/>
        <v>23</v>
      </c>
    </row>
    <row r="111" spans="2:10" x14ac:dyDescent="0.2">
      <c r="B111" s="440"/>
    </row>
    <row r="112" spans="2:10" x14ac:dyDescent="0.2">
      <c r="B112" s="440"/>
    </row>
    <row r="113" spans="2:2" x14ac:dyDescent="0.2">
      <c r="B113" s="440"/>
    </row>
    <row r="114" spans="2:2" x14ac:dyDescent="0.2">
      <c r="B114" s="440"/>
    </row>
    <row r="115" spans="2:2" x14ac:dyDescent="0.2">
      <c r="B115" s="440"/>
    </row>
    <row r="116" spans="2:2" x14ac:dyDescent="0.2">
      <c r="B116" s="440"/>
    </row>
    <row r="117" spans="2:2" x14ac:dyDescent="0.2">
      <c r="B117" s="440"/>
    </row>
    <row r="118" spans="2:2" x14ac:dyDescent="0.2">
      <c r="B118" s="440"/>
    </row>
    <row r="119" spans="2:2" x14ac:dyDescent="0.2">
      <c r="B119" s="440"/>
    </row>
    <row r="120" spans="2:2" x14ac:dyDescent="0.2">
      <c r="B120" s="440"/>
    </row>
    <row r="121" spans="2:2" x14ac:dyDescent="0.2">
      <c r="B121" s="440"/>
    </row>
    <row r="122" spans="2:2" x14ac:dyDescent="0.2">
      <c r="B122" s="440"/>
    </row>
    <row r="123" spans="2:2" x14ac:dyDescent="0.2">
      <c r="B123" s="440"/>
    </row>
    <row r="124" spans="2:2" x14ac:dyDescent="0.2">
      <c r="B124" s="440"/>
    </row>
    <row r="125" spans="2:2" x14ac:dyDescent="0.2">
      <c r="B125" s="440"/>
    </row>
    <row r="126" spans="2:2" x14ac:dyDescent="0.2">
      <c r="B126" s="440"/>
    </row>
    <row r="127" spans="2:2" x14ac:dyDescent="0.2">
      <c r="B127" s="440"/>
    </row>
    <row r="128" spans="2:2" x14ac:dyDescent="0.2">
      <c r="B128" s="440"/>
    </row>
    <row r="129" spans="2:2" x14ac:dyDescent="0.2">
      <c r="B129" s="440"/>
    </row>
    <row r="130" spans="2:2" x14ac:dyDescent="0.2">
      <c r="B130" s="440"/>
    </row>
    <row r="131" spans="2:2" x14ac:dyDescent="0.2">
      <c r="B131" s="440"/>
    </row>
    <row r="132" spans="2:2" x14ac:dyDescent="0.2">
      <c r="B132" s="440"/>
    </row>
    <row r="133" spans="2:2" x14ac:dyDescent="0.2">
      <c r="B133" s="440"/>
    </row>
    <row r="134" spans="2:2" x14ac:dyDescent="0.2">
      <c r="B134" s="440"/>
    </row>
    <row r="135" spans="2:2" x14ac:dyDescent="0.2">
      <c r="B135" s="440"/>
    </row>
    <row r="136" spans="2:2" x14ac:dyDescent="0.2">
      <c r="B136" s="440"/>
    </row>
    <row r="137" spans="2:2" x14ac:dyDescent="0.2">
      <c r="B137" s="440"/>
    </row>
    <row r="138" spans="2:2" x14ac:dyDescent="0.2">
      <c r="B138" s="440"/>
    </row>
    <row r="139" spans="2:2" x14ac:dyDescent="0.2">
      <c r="B139" s="440"/>
    </row>
    <row r="140" spans="2:2" x14ac:dyDescent="0.2">
      <c r="B140" s="440"/>
    </row>
    <row r="141" spans="2:2" x14ac:dyDescent="0.2">
      <c r="B141" s="440"/>
    </row>
    <row r="142" spans="2:2" x14ac:dyDescent="0.2">
      <c r="B142" s="440"/>
    </row>
    <row r="143" spans="2:2" x14ac:dyDescent="0.2">
      <c r="B143" s="440"/>
    </row>
    <row r="144" spans="2:2" x14ac:dyDescent="0.2">
      <c r="B144" s="440"/>
    </row>
    <row r="145" spans="2:2" x14ac:dyDescent="0.2">
      <c r="B145" s="440"/>
    </row>
    <row r="146" spans="2:2" x14ac:dyDescent="0.2">
      <c r="B146" s="440"/>
    </row>
    <row r="147" spans="2:2" x14ac:dyDescent="0.2">
      <c r="B147" s="440"/>
    </row>
    <row r="148" spans="2:2" x14ac:dyDescent="0.2">
      <c r="B148" s="440"/>
    </row>
    <row r="149" spans="2:2" x14ac:dyDescent="0.2">
      <c r="B149" s="440"/>
    </row>
    <row r="150" spans="2:2" x14ac:dyDescent="0.2">
      <c r="B150" s="440"/>
    </row>
    <row r="151" spans="2:2" x14ac:dyDescent="0.2">
      <c r="B151" s="440"/>
    </row>
    <row r="152" spans="2:2" x14ac:dyDescent="0.2">
      <c r="B152" s="440"/>
    </row>
    <row r="153" spans="2:2" x14ac:dyDescent="0.2">
      <c r="B153" s="440"/>
    </row>
    <row r="154" spans="2:2" x14ac:dyDescent="0.2">
      <c r="B154" s="440"/>
    </row>
    <row r="155" spans="2:2" x14ac:dyDescent="0.2">
      <c r="B155" s="440"/>
    </row>
    <row r="156" spans="2:2" x14ac:dyDescent="0.2">
      <c r="B156" s="440"/>
    </row>
    <row r="157" spans="2:2" x14ac:dyDescent="0.2">
      <c r="B157" s="440"/>
    </row>
    <row r="158" spans="2:2" x14ac:dyDescent="0.2">
      <c r="B158" s="440"/>
    </row>
    <row r="159" spans="2:2" x14ac:dyDescent="0.2">
      <c r="B159" s="440"/>
    </row>
    <row r="160" spans="2:2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</sheetData>
  <mergeCells count="23">
    <mergeCell ref="G67:G69"/>
    <mergeCell ref="H67:H69"/>
    <mergeCell ref="I67:J68"/>
    <mergeCell ref="H7:H9"/>
    <mergeCell ref="I7:J8"/>
    <mergeCell ref="B62:J62"/>
    <mergeCell ref="I63:J63"/>
    <mergeCell ref="B66:J66"/>
    <mergeCell ref="B67:B69"/>
    <mergeCell ref="C67:C69"/>
    <mergeCell ref="D67:D69"/>
    <mergeCell ref="E67:E69"/>
    <mergeCell ref="F67:F69"/>
    <mergeCell ref="B2:J2"/>
    <mergeCell ref="B3:J3"/>
    <mergeCell ref="I4:J4"/>
    <mergeCell ref="B5:J5"/>
    <mergeCell ref="B7:B9"/>
    <mergeCell ref="C7:C9"/>
    <mergeCell ref="D7:D9"/>
    <mergeCell ref="E7:E9"/>
    <mergeCell ref="F7:F9"/>
    <mergeCell ref="G7:G9"/>
  </mergeCells>
  <pageMargins left="0.87" right="0.75" top="1" bottom="1" header="0" footer="0"/>
  <pageSetup paperSize="9" scale="87" fitToHeight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8"/>
  <sheetViews>
    <sheetView zoomScaleNormal="100" workbookViewId="0">
      <selection activeCell="J39" sqref="J39"/>
    </sheetView>
  </sheetViews>
  <sheetFormatPr defaultColWidth="9.140625" defaultRowHeight="12" x14ac:dyDescent="0.2"/>
  <cols>
    <col min="1" max="1" width="9.140625" style="161"/>
    <col min="2" max="2" width="16.5703125" style="161" customWidth="1"/>
    <col min="3" max="3" width="8" style="440" customWidth="1"/>
    <col min="4" max="4" width="9.85546875" style="440" customWidth="1"/>
    <col min="5" max="5" width="8.5703125" style="440" customWidth="1"/>
    <col min="6" max="6" width="9.7109375" style="440" customWidth="1"/>
    <col min="7" max="7" width="11.42578125" style="161" customWidth="1"/>
    <col min="8" max="8" width="11.285156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12" s="175" customFormat="1" ht="15.75" x14ac:dyDescent="0.25">
      <c r="B2" s="961" t="s">
        <v>172</v>
      </c>
      <c r="C2" s="961"/>
      <c r="D2" s="961"/>
      <c r="E2" s="961"/>
      <c r="F2" s="961"/>
      <c r="G2" s="961"/>
      <c r="H2" s="961"/>
      <c r="I2" s="961"/>
      <c r="J2" s="961"/>
    </row>
    <row r="3" spans="2:12" s="175" customFormat="1" ht="15.75" x14ac:dyDescent="0.25">
      <c r="B3" s="173"/>
      <c r="C3" s="448"/>
      <c r="D3" s="449"/>
      <c r="E3" s="449"/>
      <c r="F3" s="449"/>
      <c r="G3" s="449"/>
      <c r="H3" s="449"/>
      <c r="I3" s="173"/>
      <c r="J3" s="173"/>
    </row>
    <row r="4" spans="2:12" s="175" customFormat="1" ht="15.75" x14ac:dyDescent="0.25">
      <c r="B4" s="174"/>
      <c r="C4" s="450"/>
      <c r="D4" s="450"/>
      <c r="E4" s="450"/>
      <c r="F4" s="450"/>
      <c r="I4" s="982" t="s">
        <v>283</v>
      </c>
      <c r="J4" s="982"/>
    </row>
    <row r="5" spans="2:12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12" x14ac:dyDescent="0.2">
      <c r="B6" s="423"/>
    </row>
    <row r="7" spans="2:12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12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12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12" s="425" customFormat="1" ht="11.25" x14ac:dyDescent="0.2">
      <c r="B10" s="190">
        <v>1</v>
      </c>
      <c r="C10" s="163">
        <v>2</v>
      </c>
      <c r="D10" s="163">
        <v>3</v>
      </c>
      <c r="E10" s="163">
        <v>4</v>
      </c>
      <c r="F10" s="163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12" x14ac:dyDescent="0.2">
      <c r="B11" s="487" t="s">
        <v>151</v>
      </c>
      <c r="C11" s="443">
        <v>0</v>
      </c>
      <c r="D11" s="443">
        <v>0</v>
      </c>
      <c r="E11" s="443">
        <v>0</v>
      </c>
      <c r="F11" s="443">
        <v>0</v>
      </c>
      <c r="G11" s="423">
        <v>0</v>
      </c>
      <c r="H11" s="423">
        <v>0</v>
      </c>
      <c r="I11" s="423">
        <v>0</v>
      </c>
      <c r="J11" s="431">
        <v>0</v>
      </c>
    </row>
    <row r="12" spans="2:12" x14ac:dyDescent="0.2">
      <c r="B12" s="592" t="s">
        <v>152</v>
      </c>
      <c r="C12" s="593"/>
      <c r="D12" s="593"/>
      <c r="E12" s="593"/>
      <c r="F12" s="593"/>
      <c r="G12" s="593"/>
      <c r="H12" s="593"/>
      <c r="I12" s="593"/>
      <c r="J12" s="594"/>
    </row>
    <row r="13" spans="2:12" x14ac:dyDescent="0.2">
      <c r="B13" s="485" t="s">
        <v>92</v>
      </c>
      <c r="C13" s="443">
        <v>5</v>
      </c>
      <c r="D13" s="443">
        <v>68019</v>
      </c>
      <c r="E13" s="443">
        <v>1440</v>
      </c>
      <c r="F13" s="443">
        <v>16733</v>
      </c>
      <c r="G13" s="423">
        <v>12519</v>
      </c>
      <c r="H13" s="423">
        <v>8</v>
      </c>
      <c r="I13" s="423">
        <v>4</v>
      </c>
      <c r="J13" s="431">
        <v>4</v>
      </c>
    </row>
    <row r="14" spans="2:12" x14ac:dyDescent="0.2">
      <c r="B14" s="592" t="s">
        <v>153</v>
      </c>
      <c r="C14" s="593"/>
      <c r="D14" s="593"/>
      <c r="E14" s="593"/>
      <c r="F14" s="593"/>
      <c r="G14" s="593"/>
      <c r="H14" s="593"/>
      <c r="I14" s="593"/>
      <c r="J14" s="594"/>
    </row>
    <row r="15" spans="2:12" x14ac:dyDescent="0.2">
      <c r="B15" s="485" t="s">
        <v>94</v>
      </c>
      <c r="C15" s="443">
        <v>2</v>
      </c>
      <c r="D15" s="443">
        <v>42543</v>
      </c>
      <c r="E15" s="443">
        <v>911</v>
      </c>
      <c r="F15" s="443">
        <v>42020</v>
      </c>
      <c r="G15" s="423">
        <v>12275</v>
      </c>
      <c r="H15" s="423">
        <v>3</v>
      </c>
      <c r="I15" s="423">
        <v>2</v>
      </c>
      <c r="J15" s="431">
        <v>2</v>
      </c>
    </row>
    <row r="16" spans="2:12" x14ac:dyDescent="0.2">
      <c r="B16" s="486" t="s">
        <v>97</v>
      </c>
      <c r="C16" s="443">
        <v>0</v>
      </c>
      <c r="D16" s="443">
        <v>0</v>
      </c>
      <c r="E16" s="443">
        <v>0</v>
      </c>
      <c r="F16" s="443">
        <v>0</v>
      </c>
      <c r="G16" s="423">
        <v>0</v>
      </c>
      <c r="H16" s="423">
        <v>0</v>
      </c>
      <c r="I16" s="423">
        <v>0</v>
      </c>
      <c r="J16" s="431">
        <v>0</v>
      </c>
    </row>
    <row r="17" spans="2:12" x14ac:dyDescent="0.2">
      <c r="B17" s="592" t="s">
        <v>154</v>
      </c>
      <c r="C17" s="593"/>
      <c r="D17" s="593"/>
      <c r="E17" s="593"/>
      <c r="F17" s="593"/>
      <c r="G17" s="593"/>
      <c r="H17" s="593"/>
      <c r="I17" s="593"/>
      <c r="J17" s="594"/>
    </row>
    <row r="18" spans="2:12" x14ac:dyDescent="0.2">
      <c r="B18" s="485" t="s">
        <v>102</v>
      </c>
      <c r="C18" s="443">
        <v>1</v>
      </c>
      <c r="D18" s="443">
        <v>27963</v>
      </c>
      <c r="E18" s="443">
        <v>607</v>
      </c>
      <c r="F18" s="443">
        <v>11685</v>
      </c>
      <c r="G18" s="423">
        <v>17189</v>
      </c>
      <c r="H18" s="423">
        <v>2</v>
      </c>
      <c r="I18" s="423">
        <v>1</v>
      </c>
      <c r="J18" s="431">
        <v>1</v>
      </c>
    </row>
    <row r="19" spans="2:12" x14ac:dyDescent="0.2">
      <c r="B19" s="592" t="s">
        <v>155</v>
      </c>
      <c r="C19" s="593"/>
      <c r="D19" s="593"/>
      <c r="E19" s="593"/>
      <c r="F19" s="593"/>
      <c r="G19" s="593"/>
      <c r="H19" s="593"/>
      <c r="I19" s="593"/>
      <c r="J19" s="594"/>
      <c r="K19" s="437"/>
      <c r="L19" s="437"/>
    </row>
    <row r="20" spans="2:12" x14ac:dyDescent="0.2">
      <c r="B20" s="485" t="s">
        <v>104</v>
      </c>
      <c r="C20" s="443">
        <v>1</v>
      </c>
      <c r="D20" s="443">
        <v>27456</v>
      </c>
      <c r="E20" s="443">
        <v>340</v>
      </c>
      <c r="F20" s="443">
        <v>2995</v>
      </c>
      <c r="G20" s="423">
        <v>5656</v>
      </c>
      <c r="H20" s="423">
        <v>1</v>
      </c>
      <c r="I20" s="423">
        <v>1</v>
      </c>
      <c r="J20" s="431">
        <v>1</v>
      </c>
      <c r="K20" s="437"/>
      <c r="L20" s="437"/>
    </row>
    <row r="21" spans="2:12" x14ac:dyDescent="0.2">
      <c r="B21" s="486" t="s">
        <v>156</v>
      </c>
      <c r="C21" s="443">
        <v>0</v>
      </c>
      <c r="D21" s="443">
        <v>0</v>
      </c>
      <c r="E21" s="443">
        <v>0</v>
      </c>
      <c r="F21" s="443">
        <v>0</v>
      </c>
      <c r="G21" s="423">
        <v>0</v>
      </c>
      <c r="H21" s="423">
        <v>0</v>
      </c>
      <c r="I21" s="423">
        <v>0</v>
      </c>
      <c r="J21" s="431">
        <v>0</v>
      </c>
    </row>
    <row r="22" spans="2:12" x14ac:dyDescent="0.2">
      <c r="B22" s="486" t="s">
        <v>157</v>
      </c>
      <c r="C22" s="443">
        <v>0</v>
      </c>
      <c r="D22" s="443">
        <v>0</v>
      </c>
      <c r="E22" s="443">
        <v>0</v>
      </c>
      <c r="F22" s="443">
        <v>0</v>
      </c>
      <c r="G22" s="423">
        <v>0</v>
      </c>
      <c r="H22" s="423">
        <v>0</v>
      </c>
      <c r="I22" s="423">
        <v>0</v>
      </c>
      <c r="J22" s="431">
        <v>0</v>
      </c>
    </row>
    <row r="23" spans="2:12" x14ac:dyDescent="0.2">
      <c r="B23" s="486" t="s">
        <v>158</v>
      </c>
      <c r="C23" s="443">
        <v>0</v>
      </c>
      <c r="D23" s="443">
        <v>0</v>
      </c>
      <c r="E23" s="443">
        <v>0</v>
      </c>
      <c r="F23" s="443">
        <v>0</v>
      </c>
      <c r="G23" s="423">
        <v>0</v>
      </c>
      <c r="H23" s="423">
        <v>0</v>
      </c>
      <c r="I23" s="423">
        <v>0</v>
      </c>
      <c r="J23" s="431">
        <v>0</v>
      </c>
    </row>
    <row r="24" spans="2:12" x14ac:dyDescent="0.2">
      <c r="B24" s="592" t="s">
        <v>159</v>
      </c>
      <c r="C24" s="593"/>
      <c r="D24" s="593"/>
      <c r="E24" s="593"/>
      <c r="F24" s="593"/>
      <c r="G24" s="593"/>
      <c r="H24" s="593"/>
      <c r="I24" s="593"/>
      <c r="J24" s="594"/>
    </row>
    <row r="25" spans="2:12" x14ac:dyDescent="0.2">
      <c r="B25" s="485" t="s">
        <v>216</v>
      </c>
      <c r="C25" s="443">
        <v>2</v>
      </c>
      <c r="D25" s="443">
        <v>18702</v>
      </c>
      <c r="E25" s="443">
        <v>393</v>
      </c>
      <c r="F25" s="443">
        <v>2952</v>
      </c>
      <c r="G25" s="423">
        <v>1704</v>
      </c>
      <c r="H25" s="423">
        <v>3</v>
      </c>
      <c r="I25" s="423">
        <v>2</v>
      </c>
      <c r="J25" s="431">
        <v>2</v>
      </c>
    </row>
    <row r="26" spans="2:12" x14ac:dyDescent="0.2">
      <c r="B26" s="485" t="s">
        <v>113</v>
      </c>
      <c r="C26" s="443">
        <v>6</v>
      </c>
      <c r="D26" s="443">
        <v>188543</v>
      </c>
      <c r="E26" s="443">
        <v>3339</v>
      </c>
      <c r="F26" s="443">
        <v>98720</v>
      </c>
      <c r="G26" s="423">
        <v>57275</v>
      </c>
      <c r="H26" s="423">
        <v>12</v>
      </c>
      <c r="I26" s="423">
        <v>6</v>
      </c>
      <c r="J26" s="431">
        <v>6</v>
      </c>
    </row>
    <row r="27" spans="2:12" x14ac:dyDescent="0.2">
      <c r="B27" s="485" t="s">
        <v>221</v>
      </c>
      <c r="C27" s="443">
        <v>4</v>
      </c>
      <c r="D27" s="443">
        <v>50730</v>
      </c>
      <c r="E27" s="443">
        <v>983</v>
      </c>
      <c r="F27" s="443">
        <v>9822</v>
      </c>
      <c r="G27" s="423">
        <v>7509</v>
      </c>
      <c r="H27" s="423">
        <v>3</v>
      </c>
      <c r="I27" s="423">
        <v>4</v>
      </c>
      <c r="J27" s="431">
        <v>4</v>
      </c>
    </row>
    <row r="28" spans="2:12" ht="18" customHeight="1" x14ac:dyDescent="0.2">
      <c r="B28" s="447" t="s">
        <v>115</v>
      </c>
      <c r="C28" s="447">
        <f>SUM(C11:C27)</f>
        <v>21</v>
      </c>
      <c r="D28" s="447">
        <f t="shared" ref="D28:J28" si="0">SUM(D11:D27)</f>
        <v>423956</v>
      </c>
      <c r="E28" s="447">
        <f t="shared" si="0"/>
        <v>8013</v>
      </c>
      <c r="F28" s="447">
        <f t="shared" si="0"/>
        <v>184927</v>
      </c>
      <c r="G28" s="447">
        <f t="shared" si="0"/>
        <v>114127</v>
      </c>
      <c r="H28" s="447">
        <f t="shared" si="0"/>
        <v>32</v>
      </c>
      <c r="I28" s="447">
        <f t="shared" si="0"/>
        <v>20</v>
      </c>
      <c r="J28" s="447">
        <f t="shared" si="0"/>
        <v>20</v>
      </c>
    </row>
    <row r="29" spans="2:12" x14ac:dyDescent="0.2">
      <c r="B29" s="440"/>
    </row>
    <row r="30" spans="2:12" x14ac:dyDescent="0.2">
      <c r="B30" s="440"/>
    </row>
    <row r="31" spans="2:12" x14ac:dyDescent="0.2">
      <c r="B31" s="440"/>
    </row>
    <row r="32" spans="2:12" x14ac:dyDescent="0.2">
      <c r="B32" s="440"/>
    </row>
    <row r="33" spans="2:2" x14ac:dyDescent="0.2">
      <c r="B33" s="440"/>
    </row>
    <row r="34" spans="2:2" x14ac:dyDescent="0.2">
      <c r="B34" s="440"/>
    </row>
    <row r="35" spans="2:2" x14ac:dyDescent="0.2">
      <c r="B35" s="440"/>
    </row>
    <row r="36" spans="2:2" x14ac:dyDescent="0.2">
      <c r="B36" s="440"/>
    </row>
    <row r="37" spans="2:2" x14ac:dyDescent="0.2">
      <c r="B37" s="440"/>
    </row>
    <row r="38" spans="2:2" x14ac:dyDescent="0.2">
      <c r="B38" s="440"/>
    </row>
    <row r="39" spans="2:2" x14ac:dyDescent="0.2">
      <c r="B39" s="440"/>
    </row>
    <row r="40" spans="2:2" x14ac:dyDescent="0.2">
      <c r="B40" s="440"/>
    </row>
    <row r="41" spans="2:2" x14ac:dyDescent="0.2">
      <c r="B41" s="440"/>
    </row>
    <row r="42" spans="2:2" x14ac:dyDescent="0.2">
      <c r="B42" s="440"/>
    </row>
    <row r="43" spans="2:2" x14ac:dyDescent="0.2">
      <c r="B43" s="440"/>
    </row>
    <row r="44" spans="2:2" x14ac:dyDescent="0.2">
      <c r="B44" s="440"/>
    </row>
    <row r="45" spans="2:2" x14ac:dyDescent="0.2">
      <c r="B45" s="440"/>
    </row>
    <row r="46" spans="2:2" x14ac:dyDescent="0.2">
      <c r="B46" s="440"/>
    </row>
    <row r="47" spans="2:2" x14ac:dyDescent="0.2">
      <c r="B47" s="440"/>
    </row>
    <row r="48" spans="2:2" x14ac:dyDescent="0.2">
      <c r="B48" s="440"/>
    </row>
    <row r="49" spans="2:2" x14ac:dyDescent="0.2">
      <c r="B49" s="440"/>
    </row>
    <row r="50" spans="2:2" x14ac:dyDescent="0.2">
      <c r="B50" s="440"/>
    </row>
    <row r="51" spans="2:2" x14ac:dyDescent="0.2">
      <c r="B51" s="440"/>
    </row>
    <row r="52" spans="2:2" x14ac:dyDescent="0.2">
      <c r="B52" s="440"/>
    </row>
    <row r="53" spans="2:2" x14ac:dyDescent="0.2">
      <c r="B53" s="440"/>
    </row>
    <row r="54" spans="2:2" x14ac:dyDescent="0.2">
      <c r="B54" s="440"/>
    </row>
    <row r="55" spans="2:2" x14ac:dyDescent="0.2">
      <c r="B55" s="440"/>
    </row>
    <row r="56" spans="2:2" x14ac:dyDescent="0.2">
      <c r="B56" s="440"/>
    </row>
    <row r="57" spans="2:2" x14ac:dyDescent="0.2">
      <c r="B57" s="440"/>
    </row>
    <row r="58" spans="2:2" x14ac:dyDescent="0.2">
      <c r="B58" s="440"/>
    </row>
    <row r="59" spans="2:2" x14ac:dyDescent="0.2">
      <c r="B59" s="440"/>
    </row>
    <row r="60" spans="2:2" x14ac:dyDescent="0.2">
      <c r="B60" s="440"/>
    </row>
    <row r="61" spans="2:2" x14ac:dyDescent="0.2">
      <c r="B61" s="440"/>
    </row>
    <row r="62" spans="2:2" x14ac:dyDescent="0.2">
      <c r="B62" s="440"/>
    </row>
    <row r="63" spans="2:2" x14ac:dyDescent="0.2">
      <c r="B63" s="440"/>
    </row>
    <row r="64" spans="2:2" x14ac:dyDescent="0.2">
      <c r="B64" s="440"/>
    </row>
    <row r="65" spans="2:2" x14ac:dyDescent="0.2">
      <c r="B65" s="440"/>
    </row>
    <row r="66" spans="2:2" x14ac:dyDescent="0.2">
      <c r="B66" s="440"/>
    </row>
    <row r="67" spans="2:2" x14ac:dyDescent="0.2">
      <c r="B67" s="440"/>
    </row>
    <row r="68" spans="2:2" x14ac:dyDescent="0.2">
      <c r="B68" s="440"/>
    </row>
    <row r="69" spans="2:2" x14ac:dyDescent="0.2">
      <c r="B69" s="440"/>
    </row>
    <row r="70" spans="2:2" x14ac:dyDescent="0.2">
      <c r="B70" s="440"/>
    </row>
    <row r="71" spans="2:2" x14ac:dyDescent="0.2">
      <c r="B71" s="440"/>
    </row>
    <row r="72" spans="2:2" x14ac:dyDescent="0.2">
      <c r="B72" s="440"/>
    </row>
    <row r="73" spans="2:2" x14ac:dyDescent="0.2">
      <c r="B73" s="440"/>
    </row>
    <row r="74" spans="2:2" x14ac:dyDescent="0.2">
      <c r="B74" s="440"/>
    </row>
    <row r="75" spans="2:2" x14ac:dyDescent="0.2">
      <c r="B75" s="440"/>
    </row>
    <row r="76" spans="2:2" x14ac:dyDescent="0.2">
      <c r="B76" s="440"/>
    </row>
    <row r="77" spans="2:2" x14ac:dyDescent="0.2">
      <c r="B77" s="440"/>
    </row>
    <row r="78" spans="2:2" x14ac:dyDescent="0.2">
      <c r="B78" s="440"/>
    </row>
    <row r="79" spans="2:2" x14ac:dyDescent="0.2">
      <c r="B79" s="440"/>
    </row>
    <row r="80" spans="2:2" x14ac:dyDescent="0.2">
      <c r="B80" s="440"/>
    </row>
    <row r="81" spans="2:2" x14ac:dyDescent="0.2">
      <c r="B81" s="440"/>
    </row>
    <row r="82" spans="2:2" x14ac:dyDescent="0.2">
      <c r="B82" s="440"/>
    </row>
    <row r="83" spans="2:2" x14ac:dyDescent="0.2">
      <c r="B83" s="440"/>
    </row>
    <row r="84" spans="2:2" x14ac:dyDescent="0.2">
      <c r="B84" s="440"/>
    </row>
    <row r="85" spans="2:2" x14ac:dyDescent="0.2">
      <c r="B85" s="440"/>
    </row>
    <row r="86" spans="2:2" x14ac:dyDescent="0.2">
      <c r="B86" s="440"/>
    </row>
    <row r="87" spans="2:2" x14ac:dyDescent="0.2">
      <c r="B87" s="440"/>
    </row>
    <row r="88" spans="2:2" x14ac:dyDescent="0.2">
      <c r="B88" s="440"/>
    </row>
  </sheetData>
  <mergeCells count="11">
    <mergeCell ref="I7:J8"/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</mergeCells>
  <pageMargins left="1.01" right="0.75" top="1" bottom="1" header="0" footer="0"/>
  <pageSetup paperSize="9" scale="81" fitToHeight="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75"/>
  <sheetViews>
    <sheetView zoomScaleNormal="100" workbookViewId="0">
      <selection activeCell="G34" sqref="G34"/>
    </sheetView>
  </sheetViews>
  <sheetFormatPr defaultColWidth="9.140625" defaultRowHeight="12.75" x14ac:dyDescent="0.2"/>
  <cols>
    <col min="1" max="1" width="9.140625" style="162"/>
    <col min="2" max="2" width="17.140625" style="162" customWidth="1"/>
    <col min="3" max="6" width="9.140625" style="162"/>
    <col min="7" max="7" width="10.5703125" style="162" customWidth="1"/>
    <col min="8" max="8" width="11.140625" style="162" customWidth="1"/>
    <col min="9" max="16384" width="9.140625" style="162"/>
  </cols>
  <sheetData>
    <row r="2" spans="2:10" ht="15" x14ac:dyDescent="0.2">
      <c r="B2" s="961" t="s">
        <v>173</v>
      </c>
      <c r="C2" s="961"/>
      <c r="D2" s="961"/>
      <c r="E2" s="961"/>
      <c r="F2" s="961"/>
      <c r="G2" s="961"/>
      <c r="H2" s="961"/>
      <c r="I2" s="961"/>
      <c r="J2" s="961"/>
    </row>
    <row r="3" spans="2:10" ht="15.75" x14ac:dyDescent="0.25">
      <c r="B3" s="173"/>
      <c r="C3" s="173"/>
      <c r="D3" s="173"/>
      <c r="E3" s="173"/>
      <c r="F3" s="173"/>
      <c r="G3" s="173"/>
      <c r="H3" s="173"/>
      <c r="I3" s="173"/>
      <c r="J3" s="173"/>
    </row>
    <row r="4" spans="2:10" ht="15.75" x14ac:dyDescent="0.25">
      <c r="B4" s="174"/>
      <c r="C4" s="175"/>
      <c r="D4" s="175"/>
      <c r="E4" s="175"/>
      <c r="F4" s="175"/>
      <c r="G4" s="175"/>
      <c r="H4" s="175"/>
      <c r="I4" s="982" t="s">
        <v>283</v>
      </c>
      <c r="J4" s="982"/>
    </row>
    <row r="5" spans="2:10" ht="15" x14ac:dyDescent="0.2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10" x14ac:dyDescent="0.2">
      <c r="B6" s="423"/>
      <c r="C6" s="161"/>
      <c r="D6" s="161"/>
      <c r="E6" s="161"/>
      <c r="F6" s="161"/>
      <c r="G6" s="161"/>
      <c r="H6" s="161"/>
      <c r="I6" s="161"/>
      <c r="J6" s="161"/>
    </row>
    <row r="7" spans="2:10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</row>
    <row r="8" spans="2:10" x14ac:dyDescent="0.2">
      <c r="B8" s="969"/>
      <c r="C8" s="969"/>
      <c r="D8" s="969"/>
      <c r="E8" s="969"/>
      <c r="F8" s="969"/>
      <c r="G8" s="969"/>
      <c r="H8" s="969"/>
      <c r="I8" s="1003"/>
      <c r="J8" s="1004"/>
    </row>
    <row r="9" spans="2:10" ht="18.75" customHeight="1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</row>
    <row r="10" spans="2:10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</row>
    <row r="11" spans="2:10" x14ac:dyDescent="0.2">
      <c r="B11" s="487" t="s">
        <v>151</v>
      </c>
      <c r="C11" s="423">
        <v>0</v>
      </c>
      <c r="D11" s="423">
        <v>0</v>
      </c>
      <c r="E11" s="423">
        <v>0</v>
      </c>
      <c r="F11" s="423">
        <v>0</v>
      </c>
      <c r="G11" s="423">
        <v>0</v>
      </c>
      <c r="H11" s="423">
        <v>0</v>
      </c>
      <c r="I11" s="423">
        <v>0</v>
      </c>
      <c r="J11" s="431">
        <v>0</v>
      </c>
    </row>
    <row r="12" spans="2:10" x14ac:dyDescent="0.2">
      <c r="B12" s="592" t="s">
        <v>152</v>
      </c>
      <c r="C12" s="593"/>
      <c r="D12" s="593"/>
      <c r="E12" s="593"/>
      <c r="F12" s="593"/>
      <c r="G12" s="593"/>
      <c r="H12" s="593"/>
      <c r="I12" s="593"/>
      <c r="J12" s="594"/>
    </row>
    <row r="13" spans="2:10" x14ac:dyDescent="0.2">
      <c r="B13" s="485" t="s">
        <v>92</v>
      </c>
      <c r="C13" s="423">
        <v>0</v>
      </c>
      <c r="D13" s="423">
        <v>0</v>
      </c>
      <c r="E13" s="423">
        <v>0</v>
      </c>
      <c r="F13" s="423">
        <v>0</v>
      </c>
      <c r="G13" s="423">
        <v>0</v>
      </c>
      <c r="H13" s="423">
        <v>0</v>
      </c>
      <c r="I13" s="423">
        <v>0</v>
      </c>
      <c r="J13" s="429">
        <v>0</v>
      </c>
    </row>
    <row r="14" spans="2:10" x14ac:dyDescent="0.2">
      <c r="B14" s="592" t="s">
        <v>153</v>
      </c>
      <c r="C14" s="593"/>
      <c r="D14" s="593"/>
      <c r="E14" s="593"/>
      <c r="F14" s="593"/>
      <c r="G14" s="593"/>
      <c r="H14" s="593"/>
      <c r="I14" s="593"/>
      <c r="J14" s="594"/>
    </row>
    <row r="15" spans="2:10" x14ac:dyDescent="0.2">
      <c r="B15" s="485" t="s">
        <v>191</v>
      </c>
      <c r="C15" s="423">
        <v>1</v>
      </c>
      <c r="D15" s="423">
        <v>3980</v>
      </c>
      <c r="E15" s="423">
        <v>50</v>
      </c>
      <c r="F15" s="423">
        <v>330</v>
      </c>
      <c r="G15" s="423">
        <v>250</v>
      </c>
      <c r="H15" s="423">
        <v>0</v>
      </c>
      <c r="I15" s="423">
        <v>1</v>
      </c>
      <c r="J15" s="431">
        <v>1</v>
      </c>
    </row>
    <row r="16" spans="2:10" x14ac:dyDescent="0.2">
      <c r="B16" s="486" t="s">
        <v>97</v>
      </c>
      <c r="C16" s="423">
        <v>0</v>
      </c>
      <c r="D16" s="423">
        <v>0</v>
      </c>
      <c r="E16" s="423">
        <v>0</v>
      </c>
      <c r="F16" s="423">
        <v>0</v>
      </c>
      <c r="G16" s="423">
        <v>0</v>
      </c>
      <c r="H16" s="423">
        <v>0</v>
      </c>
      <c r="I16" s="423">
        <v>0</v>
      </c>
      <c r="J16" s="431">
        <v>0</v>
      </c>
    </row>
    <row r="17" spans="2:10" x14ac:dyDescent="0.2">
      <c r="B17" s="486" t="s">
        <v>154</v>
      </c>
      <c r="C17" s="423">
        <v>0</v>
      </c>
      <c r="D17" s="423">
        <v>0</v>
      </c>
      <c r="E17" s="423">
        <v>0</v>
      </c>
      <c r="F17" s="423">
        <v>0</v>
      </c>
      <c r="G17" s="423">
        <v>0</v>
      </c>
      <c r="H17" s="423">
        <v>0</v>
      </c>
      <c r="I17" s="423">
        <v>0</v>
      </c>
      <c r="J17" s="431">
        <v>0</v>
      </c>
    </row>
    <row r="18" spans="2:10" x14ac:dyDescent="0.2">
      <c r="B18" s="486" t="s">
        <v>155</v>
      </c>
      <c r="C18" s="423">
        <v>0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31">
        <v>0</v>
      </c>
    </row>
    <row r="19" spans="2:10" x14ac:dyDescent="0.2">
      <c r="B19" s="486" t="s">
        <v>156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10" x14ac:dyDescent="0.2">
      <c r="B20" s="486" t="s">
        <v>157</v>
      </c>
      <c r="C20" s="423">
        <v>0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31">
        <v>0</v>
      </c>
    </row>
    <row r="21" spans="2:10" x14ac:dyDescent="0.2">
      <c r="B21" s="486" t="s">
        <v>158</v>
      </c>
      <c r="C21" s="423">
        <v>0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31">
        <v>0</v>
      </c>
    </row>
    <row r="22" spans="2:10" x14ac:dyDescent="0.2">
      <c r="B22" s="592" t="s">
        <v>159</v>
      </c>
      <c r="C22" s="593"/>
      <c r="D22" s="593"/>
      <c r="E22" s="593"/>
      <c r="F22" s="593"/>
      <c r="G22" s="593"/>
      <c r="H22" s="593"/>
      <c r="I22" s="593"/>
      <c r="J22" s="594"/>
    </row>
    <row r="23" spans="2:10" x14ac:dyDescent="0.2">
      <c r="B23" s="485" t="s">
        <v>216</v>
      </c>
      <c r="C23" s="423">
        <v>1</v>
      </c>
      <c r="D23" s="423">
        <v>3211</v>
      </c>
      <c r="E23" s="423">
        <v>16</v>
      </c>
      <c r="F23" s="423">
        <v>778</v>
      </c>
      <c r="G23" s="423">
        <v>73</v>
      </c>
      <c r="H23" s="423">
        <v>1</v>
      </c>
      <c r="I23" s="423">
        <v>1</v>
      </c>
      <c r="J23" s="431">
        <v>1</v>
      </c>
    </row>
    <row r="24" spans="2:10" x14ac:dyDescent="0.2">
      <c r="B24" s="485" t="s">
        <v>113</v>
      </c>
      <c r="C24" s="423">
        <v>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31">
        <v>0</v>
      </c>
    </row>
    <row r="25" spans="2:10" x14ac:dyDescent="0.2">
      <c r="B25" s="485" t="s">
        <v>221</v>
      </c>
      <c r="C25" s="423">
        <v>1</v>
      </c>
      <c r="D25" s="423">
        <v>4512</v>
      </c>
      <c r="E25" s="423">
        <v>184</v>
      </c>
      <c r="F25" s="423">
        <v>512</v>
      </c>
      <c r="G25" s="423">
        <v>385</v>
      </c>
      <c r="H25" s="423">
        <v>1</v>
      </c>
      <c r="I25" s="423">
        <v>1</v>
      </c>
      <c r="J25" s="431">
        <v>1</v>
      </c>
    </row>
    <row r="26" spans="2:10" x14ac:dyDescent="0.2">
      <c r="B26" s="447" t="s">
        <v>115</v>
      </c>
      <c r="C26" s="447">
        <f>SUM(C11:C25)</f>
        <v>3</v>
      </c>
      <c r="D26" s="447">
        <f t="shared" ref="D26:J26" si="0">SUM(D11:D25)</f>
        <v>11703</v>
      </c>
      <c r="E26" s="447">
        <f t="shared" si="0"/>
        <v>250</v>
      </c>
      <c r="F26" s="447">
        <f t="shared" si="0"/>
        <v>1620</v>
      </c>
      <c r="G26" s="447">
        <f t="shared" si="0"/>
        <v>708</v>
      </c>
      <c r="H26" s="447">
        <f t="shared" si="0"/>
        <v>2</v>
      </c>
      <c r="I26" s="447">
        <f t="shared" si="0"/>
        <v>3</v>
      </c>
      <c r="J26" s="447">
        <f t="shared" si="0"/>
        <v>3</v>
      </c>
    </row>
    <row r="27" spans="2:10" x14ac:dyDescent="0.2">
      <c r="B27" s="440"/>
      <c r="C27" s="161"/>
      <c r="D27" s="161"/>
      <c r="E27" s="161"/>
      <c r="F27" s="161"/>
      <c r="G27" s="161"/>
      <c r="H27" s="161"/>
      <c r="I27" s="161"/>
      <c r="J27" s="161"/>
    </row>
    <row r="28" spans="2:10" x14ac:dyDescent="0.2">
      <c r="B28" s="440"/>
      <c r="C28" s="161"/>
      <c r="D28" s="161"/>
      <c r="E28" s="161"/>
      <c r="F28" s="161"/>
      <c r="G28" s="161"/>
      <c r="H28" s="161"/>
      <c r="I28" s="161"/>
      <c r="J28" s="161"/>
    </row>
    <row r="29" spans="2:10" x14ac:dyDescent="0.2">
      <c r="B29" s="440"/>
      <c r="C29" s="161"/>
      <c r="D29" s="161"/>
      <c r="E29" s="161"/>
      <c r="F29" s="161"/>
      <c r="G29" s="161"/>
      <c r="H29" s="161"/>
      <c r="I29" s="161"/>
      <c r="J29" s="161"/>
    </row>
    <row r="30" spans="2:10" x14ac:dyDescent="0.2">
      <c r="B30" s="440"/>
      <c r="C30" s="161"/>
      <c r="D30" s="161"/>
      <c r="E30" s="161"/>
      <c r="F30" s="161"/>
      <c r="G30" s="161"/>
      <c r="H30" s="161"/>
      <c r="I30" s="161"/>
      <c r="J30" s="161"/>
    </row>
    <row r="31" spans="2:10" x14ac:dyDescent="0.2">
      <c r="B31" s="440"/>
      <c r="C31" s="161"/>
      <c r="D31" s="161"/>
      <c r="E31" s="161"/>
      <c r="F31" s="161"/>
      <c r="G31" s="161"/>
      <c r="H31" s="161"/>
      <c r="I31" s="161"/>
      <c r="J31" s="161"/>
    </row>
    <row r="32" spans="2:10" x14ac:dyDescent="0.2">
      <c r="B32" s="440"/>
      <c r="C32" s="161"/>
      <c r="D32" s="161"/>
      <c r="E32" s="161"/>
      <c r="F32" s="161"/>
      <c r="G32" s="161"/>
      <c r="H32" s="161"/>
      <c r="I32" s="161"/>
      <c r="J32" s="161"/>
    </row>
    <row r="33" spans="2:10" x14ac:dyDescent="0.2">
      <c r="B33" s="440"/>
      <c r="C33" s="161"/>
      <c r="D33" s="161"/>
      <c r="E33" s="161"/>
      <c r="F33" s="161"/>
      <c r="G33" s="161"/>
      <c r="H33" s="161"/>
      <c r="I33" s="161"/>
      <c r="J33" s="161"/>
    </row>
    <row r="34" spans="2:10" x14ac:dyDescent="0.2">
      <c r="B34" s="440"/>
      <c r="C34" s="161"/>
      <c r="D34" s="161"/>
      <c r="E34" s="161"/>
      <c r="F34" s="161"/>
      <c r="G34" s="161"/>
      <c r="H34" s="161"/>
      <c r="I34" s="161"/>
      <c r="J34" s="161"/>
    </row>
    <row r="35" spans="2:10" x14ac:dyDescent="0.2">
      <c r="B35" s="440"/>
      <c r="C35" s="161"/>
      <c r="D35" s="161"/>
      <c r="E35" s="161"/>
      <c r="F35" s="161"/>
      <c r="G35" s="161"/>
      <c r="H35" s="161"/>
      <c r="I35" s="161"/>
      <c r="J35" s="161"/>
    </row>
    <row r="36" spans="2:10" x14ac:dyDescent="0.2">
      <c r="B36" s="440"/>
      <c r="C36" s="161"/>
      <c r="D36" s="161"/>
      <c r="E36" s="161"/>
      <c r="F36" s="161"/>
      <c r="G36" s="161"/>
      <c r="H36" s="161"/>
      <c r="I36" s="161"/>
      <c r="J36" s="161"/>
    </row>
    <row r="37" spans="2:10" x14ac:dyDescent="0.2">
      <c r="B37" s="440"/>
      <c r="C37" s="161"/>
      <c r="D37" s="161"/>
      <c r="E37" s="161"/>
      <c r="F37" s="161"/>
      <c r="G37" s="161"/>
      <c r="H37" s="161"/>
      <c r="I37" s="161"/>
      <c r="J37" s="161"/>
    </row>
    <row r="38" spans="2:10" x14ac:dyDescent="0.2">
      <c r="B38" s="440"/>
      <c r="C38" s="161"/>
      <c r="D38" s="161"/>
      <c r="E38" s="161"/>
      <c r="F38" s="161"/>
      <c r="G38" s="161"/>
      <c r="H38" s="161"/>
      <c r="I38" s="161"/>
      <c r="J38" s="161"/>
    </row>
    <row r="39" spans="2:10" x14ac:dyDescent="0.2">
      <c r="B39" s="440"/>
      <c r="C39" s="161"/>
      <c r="D39" s="161"/>
      <c r="E39" s="161"/>
      <c r="F39" s="161"/>
      <c r="G39" s="161"/>
      <c r="H39" s="161"/>
      <c r="I39" s="161"/>
      <c r="J39" s="161"/>
    </row>
    <row r="40" spans="2:10" x14ac:dyDescent="0.2">
      <c r="B40" s="440"/>
      <c r="C40" s="161"/>
      <c r="D40" s="161"/>
      <c r="E40" s="161"/>
      <c r="F40" s="161"/>
      <c r="G40" s="161"/>
      <c r="H40" s="161"/>
      <c r="I40" s="161"/>
      <c r="J40" s="161"/>
    </row>
    <row r="41" spans="2:10" x14ac:dyDescent="0.2">
      <c r="B41" s="440"/>
      <c r="C41" s="161"/>
      <c r="D41" s="161"/>
      <c r="E41" s="161"/>
      <c r="F41" s="161"/>
      <c r="G41" s="161"/>
      <c r="H41" s="161"/>
      <c r="I41" s="161"/>
      <c r="J41" s="161"/>
    </row>
    <row r="42" spans="2:10" x14ac:dyDescent="0.2">
      <c r="B42" s="440"/>
      <c r="C42" s="161"/>
      <c r="D42" s="161"/>
      <c r="E42" s="161"/>
      <c r="F42" s="161"/>
      <c r="G42" s="161"/>
      <c r="H42" s="161"/>
      <c r="I42" s="161"/>
      <c r="J42" s="161"/>
    </row>
    <row r="43" spans="2:10" x14ac:dyDescent="0.2">
      <c r="B43" s="440"/>
      <c r="C43" s="161"/>
      <c r="D43" s="161"/>
      <c r="E43" s="161"/>
      <c r="F43" s="161"/>
      <c r="G43" s="161"/>
      <c r="H43" s="161"/>
      <c r="I43" s="161"/>
      <c r="J43" s="161"/>
    </row>
    <row r="44" spans="2:10" x14ac:dyDescent="0.2">
      <c r="B44" s="440"/>
      <c r="C44" s="161"/>
      <c r="D44" s="161"/>
      <c r="E44" s="161"/>
      <c r="F44" s="161"/>
      <c r="G44" s="161"/>
      <c r="H44" s="161"/>
      <c r="I44" s="161"/>
      <c r="J44" s="161"/>
    </row>
    <row r="45" spans="2:10" x14ac:dyDescent="0.2">
      <c r="B45" s="440"/>
      <c r="C45" s="161"/>
      <c r="D45" s="161"/>
      <c r="E45" s="161"/>
      <c r="F45" s="161"/>
      <c r="G45" s="161"/>
      <c r="H45" s="161"/>
      <c r="I45" s="161"/>
      <c r="J45" s="161"/>
    </row>
    <row r="46" spans="2:10" x14ac:dyDescent="0.2">
      <c r="B46" s="440"/>
      <c r="C46" s="161"/>
      <c r="D46" s="161"/>
      <c r="E46" s="161"/>
      <c r="F46" s="161"/>
      <c r="G46" s="161"/>
      <c r="H46" s="161"/>
      <c r="I46" s="161"/>
      <c r="J46" s="161"/>
    </row>
    <row r="47" spans="2:10" x14ac:dyDescent="0.2">
      <c r="B47" s="440"/>
      <c r="C47" s="161"/>
      <c r="D47" s="161"/>
      <c r="E47" s="161"/>
      <c r="F47" s="161"/>
      <c r="G47" s="161"/>
      <c r="H47" s="161"/>
      <c r="I47" s="161"/>
      <c r="J47" s="161"/>
    </row>
    <row r="48" spans="2:10" x14ac:dyDescent="0.2">
      <c r="B48" s="440"/>
      <c r="C48" s="161"/>
      <c r="D48" s="161"/>
      <c r="E48" s="161"/>
      <c r="F48" s="161"/>
      <c r="G48" s="161"/>
      <c r="H48" s="161"/>
      <c r="I48" s="161"/>
      <c r="J48" s="161"/>
    </row>
    <row r="49" spans="2:10" x14ac:dyDescent="0.2">
      <c r="B49" s="440"/>
      <c r="C49" s="161"/>
      <c r="D49" s="161"/>
      <c r="E49" s="161"/>
      <c r="F49" s="161"/>
      <c r="G49" s="161"/>
      <c r="H49" s="161"/>
      <c r="I49" s="161"/>
      <c r="J49" s="161"/>
    </row>
    <row r="50" spans="2:10" x14ac:dyDescent="0.2">
      <c r="B50" s="440"/>
      <c r="C50" s="161"/>
      <c r="D50" s="161"/>
      <c r="E50" s="161"/>
      <c r="F50" s="161"/>
      <c r="G50" s="161"/>
      <c r="H50" s="161"/>
      <c r="I50" s="161"/>
      <c r="J50" s="161"/>
    </row>
    <row r="51" spans="2:10" x14ac:dyDescent="0.2">
      <c r="B51" s="440"/>
      <c r="C51" s="161"/>
      <c r="D51" s="161"/>
      <c r="E51" s="161"/>
      <c r="F51" s="161"/>
      <c r="G51" s="161"/>
      <c r="H51" s="161"/>
      <c r="I51" s="161"/>
      <c r="J51" s="161"/>
    </row>
    <row r="52" spans="2:10" x14ac:dyDescent="0.2">
      <c r="B52" s="440"/>
      <c r="C52" s="161"/>
      <c r="D52" s="161"/>
      <c r="E52" s="161"/>
      <c r="F52" s="161"/>
      <c r="G52" s="161"/>
      <c r="H52" s="161"/>
      <c r="I52" s="161"/>
      <c r="J52" s="161"/>
    </row>
    <row r="53" spans="2:10" x14ac:dyDescent="0.2">
      <c r="B53" s="440"/>
      <c r="C53" s="161"/>
      <c r="D53" s="161"/>
      <c r="E53" s="161"/>
      <c r="F53" s="161"/>
      <c r="G53" s="161"/>
      <c r="H53" s="161"/>
      <c r="I53" s="161"/>
      <c r="J53" s="161"/>
    </row>
    <row r="54" spans="2:10" x14ac:dyDescent="0.2">
      <c r="B54" s="440"/>
      <c r="C54" s="161"/>
      <c r="D54" s="161"/>
      <c r="E54" s="161"/>
      <c r="F54" s="161"/>
      <c r="G54" s="161"/>
      <c r="H54" s="161"/>
      <c r="I54" s="161"/>
      <c r="J54" s="161"/>
    </row>
    <row r="55" spans="2:10" x14ac:dyDescent="0.2">
      <c r="B55" s="440"/>
      <c r="C55" s="161"/>
      <c r="D55" s="161"/>
      <c r="E55" s="161"/>
      <c r="F55" s="161"/>
      <c r="G55" s="161"/>
      <c r="H55" s="161"/>
      <c r="I55" s="161"/>
      <c r="J55" s="161"/>
    </row>
    <row r="56" spans="2:10" x14ac:dyDescent="0.2">
      <c r="B56" s="440"/>
      <c r="C56" s="161"/>
      <c r="D56" s="161"/>
      <c r="E56" s="161"/>
      <c r="F56" s="161"/>
      <c r="G56" s="161"/>
      <c r="H56" s="161"/>
      <c r="I56" s="161"/>
      <c r="J56" s="161"/>
    </row>
    <row r="57" spans="2:10" x14ac:dyDescent="0.2">
      <c r="B57" s="440"/>
      <c r="C57" s="161"/>
      <c r="D57" s="161"/>
      <c r="E57" s="161"/>
      <c r="F57" s="161"/>
      <c r="G57" s="161"/>
      <c r="H57" s="161"/>
      <c r="I57" s="161"/>
      <c r="J57" s="161"/>
    </row>
    <row r="58" spans="2:10" x14ac:dyDescent="0.2">
      <c r="B58" s="440"/>
      <c r="C58" s="161"/>
      <c r="D58" s="161"/>
      <c r="E58" s="161"/>
      <c r="F58" s="161"/>
      <c r="G58" s="161"/>
      <c r="H58" s="161"/>
      <c r="I58" s="161"/>
      <c r="J58" s="161"/>
    </row>
    <row r="59" spans="2:10" x14ac:dyDescent="0.2">
      <c r="B59" s="440"/>
      <c r="C59" s="161"/>
      <c r="D59" s="161"/>
      <c r="E59" s="161"/>
      <c r="F59" s="161"/>
      <c r="G59" s="161"/>
      <c r="H59" s="161"/>
      <c r="I59" s="161"/>
      <c r="J59" s="161"/>
    </row>
    <row r="60" spans="2:10" x14ac:dyDescent="0.2">
      <c r="B60" s="440"/>
      <c r="C60" s="161"/>
      <c r="D60" s="161"/>
      <c r="E60" s="161"/>
      <c r="F60" s="161"/>
      <c r="G60" s="161"/>
      <c r="H60" s="161"/>
      <c r="I60" s="161"/>
      <c r="J60" s="161"/>
    </row>
    <row r="61" spans="2:10" x14ac:dyDescent="0.2">
      <c r="B61" s="440"/>
      <c r="C61" s="161"/>
      <c r="D61" s="161"/>
      <c r="E61" s="161"/>
      <c r="F61" s="161"/>
      <c r="G61" s="161"/>
      <c r="H61" s="161"/>
      <c r="I61" s="161"/>
      <c r="J61" s="161"/>
    </row>
    <row r="62" spans="2:10" x14ac:dyDescent="0.2">
      <c r="B62" s="440"/>
      <c r="C62" s="161"/>
      <c r="D62" s="161"/>
      <c r="E62" s="161"/>
      <c r="F62" s="161"/>
      <c r="G62" s="161"/>
      <c r="H62" s="161"/>
      <c r="I62" s="161"/>
      <c r="J62" s="161"/>
    </row>
    <row r="63" spans="2:10" x14ac:dyDescent="0.2">
      <c r="B63" s="440"/>
      <c r="C63" s="161"/>
      <c r="D63" s="161"/>
      <c r="E63" s="161"/>
      <c r="F63" s="161"/>
      <c r="G63" s="161"/>
      <c r="H63" s="161"/>
      <c r="I63" s="161"/>
      <c r="J63" s="161"/>
    </row>
    <row r="64" spans="2:10" x14ac:dyDescent="0.2">
      <c r="B64" s="440"/>
      <c r="C64" s="161"/>
      <c r="D64" s="161"/>
      <c r="E64" s="161"/>
      <c r="F64" s="161"/>
      <c r="G64" s="161"/>
      <c r="H64" s="161"/>
      <c r="I64" s="161"/>
      <c r="J64" s="161"/>
    </row>
    <row r="65" spans="2:10" x14ac:dyDescent="0.2">
      <c r="B65" s="440"/>
      <c r="C65" s="161"/>
      <c r="D65" s="161"/>
      <c r="E65" s="161"/>
      <c r="F65" s="161"/>
      <c r="G65" s="161"/>
      <c r="H65" s="161"/>
      <c r="I65" s="161"/>
      <c r="J65" s="161"/>
    </row>
    <row r="66" spans="2:10" x14ac:dyDescent="0.2">
      <c r="B66" s="440"/>
      <c r="C66" s="161"/>
      <c r="D66" s="161"/>
      <c r="E66" s="161"/>
      <c r="F66" s="161"/>
      <c r="G66" s="161"/>
      <c r="H66" s="161"/>
      <c r="I66" s="161"/>
      <c r="J66" s="161"/>
    </row>
    <row r="67" spans="2:10" x14ac:dyDescent="0.2">
      <c r="B67" s="440"/>
      <c r="C67" s="161"/>
      <c r="D67" s="161"/>
      <c r="E67" s="161"/>
      <c r="F67" s="161"/>
      <c r="G67" s="161"/>
      <c r="H67" s="161"/>
      <c r="I67" s="161"/>
      <c r="J67" s="161"/>
    </row>
    <row r="68" spans="2:10" x14ac:dyDescent="0.2">
      <c r="B68" s="440"/>
      <c r="C68" s="161"/>
      <c r="D68" s="161"/>
      <c r="E68" s="161"/>
      <c r="F68" s="161"/>
      <c r="G68" s="161"/>
      <c r="H68" s="161"/>
      <c r="I68" s="161"/>
      <c r="J68" s="161"/>
    </row>
    <row r="69" spans="2:10" x14ac:dyDescent="0.2">
      <c r="B69" s="440"/>
      <c r="C69" s="161"/>
      <c r="D69" s="161"/>
      <c r="E69" s="161"/>
      <c r="F69" s="161"/>
      <c r="G69" s="161"/>
      <c r="H69" s="161"/>
      <c r="I69" s="161"/>
      <c r="J69" s="161"/>
    </row>
    <row r="70" spans="2:10" x14ac:dyDescent="0.2">
      <c r="B70" s="440"/>
      <c r="C70" s="161"/>
      <c r="D70" s="161"/>
      <c r="E70" s="161"/>
      <c r="F70" s="161"/>
      <c r="G70" s="161"/>
      <c r="H70" s="161"/>
      <c r="I70" s="161"/>
      <c r="J70" s="161"/>
    </row>
    <row r="71" spans="2:10" x14ac:dyDescent="0.2">
      <c r="B71" s="440"/>
      <c r="C71" s="161"/>
      <c r="D71" s="161"/>
      <c r="E71" s="161"/>
      <c r="F71" s="161"/>
      <c r="G71" s="161"/>
      <c r="H71" s="161"/>
      <c r="I71" s="161"/>
      <c r="J71" s="161"/>
    </row>
    <row r="72" spans="2:10" x14ac:dyDescent="0.2">
      <c r="B72" s="440"/>
      <c r="C72" s="161"/>
      <c r="D72" s="161"/>
      <c r="E72" s="161"/>
      <c r="F72" s="161"/>
      <c r="G72" s="161"/>
      <c r="H72" s="161"/>
      <c r="I72" s="161"/>
      <c r="J72" s="161"/>
    </row>
    <row r="73" spans="2:10" x14ac:dyDescent="0.2">
      <c r="B73" s="440"/>
      <c r="C73" s="161"/>
      <c r="D73" s="161"/>
      <c r="E73" s="161"/>
      <c r="F73" s="161"/>
      <c r="G73" s="161"/>
      <c r="H73" s="161"/>
      <c r="I73" s="161"/>
      <c r="J73" s="161"/>
    </row>
    <row r="74" spans="2:10" x14ac:dyDescent="0.2">
      <c r="B74" s="440"/>
      <c r="C74" s="161"/>
      <c r="D74" s="161"/>
      <c r="E74" s="161"/>
      <c r="F74" s="161"/>
      <c r="G74" s="161"/>
      <c r="H74" s="161"/>
      <c r="I74" s="161"/>
      <c r="J74" s="161"/>
    </row>
    <row r="75" spans="2:10" x14ac:dyDescent="0.2">
      <c r="B75" s="440"/>
      <c r="C75" s="161"/>
      <c r="D75" s="161"/>
      <c r="E75" s="161"/>
      <c r="F75" s="161"/>
      <c r="G75" s="161"/>
      <c r="H75" s="161"/>
      <c r="I75" s="161"/>
      <c r="J75" s="161"/>
    </row>
  </sheetData>
  <mergeCells count="11">
    <mergeCell ref="I7:J8"/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</mergeCells>
  <pageMargins left="0.89" right="0.75" top="1" bottom="1.57" header="0" footer="0"/>
  <pageSetup paperSize="9" scale="81" fitToHeight="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04"/>
  <sheetViews>
    <sheetView tabSelected="1" zoomScaleNormal="100" workbookViewId="0">
      <selection activeCell="M22" sqref="M22"/>
    </sheetView>
  </sheetViews>
  <sheetFormatPr defaultColWidth="9.140625" defaultRowHeight="12" x14ac:dyDescent="0.2"/>
  <cols>
    <col min="1" max="1" width="9.140625" style="161"/>
    <col min="2" max="2" width="16.570312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85546875" style="161" customWidth="1"/>
    <col min="8" max="8" width="11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customHeight="1" x14ac:dyDescent="0.25">
      <c r="B2" s="517"/>
      <c r="C2" s="1013" t="s">
        <v>279</v>
      </c>
      <c r="D2" s="1013"/>
      <c r="E2" s="1013"/>
      <c r="F2" s="1013"/>
      <c r="G2" s="1013"/>
      <c r="H2" s="1013"/>
      <c r="I2" s="1013"/>
      <c r="J2" s="422"/>
      <c r="K2" s="422"/>
    </row>
    <row r="3" spans="2:21" s="175" customFormat="1" ht="15.75" x14ac:dyDescent="0.25">
      <c r="B3" s="517"/>
      <c r="C3" s="1013"/>
      <c r="D3" s="1013"/>
      <c r="E3" s="1013"/>
      <c r="F3" s="1013"/>
      <c r="G3" s="1013"/>
      <c r="H3" s="1013"/>
      <c r="I3" s="1013"/>
      <c r="J3" s="422"/>
      <c r="K3" s="422"/>
    </row>
    <row r="4" spans="2:21" s="175" customFormat="1" ht="15.75" x14ac:dyDescent="0.25">
      <c r="B4" s="174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customHeight="1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ht="12" hidden="1" customHeight="1" x14ac:dyDescent="0.2">
      <c r="B11" s="428" t="s">
        <v>151</v>
      </c>
      <c r="C11" s="423"/>
      <c r="D11" s="423"/>
      <c r="E11" s="423"/>
      <c r="F11" s="423"/>
      <c r="G11" s="423"/>
      <c r="H11" s="423"/>
      <c r="I11" s="423"/>
      <c r="J11" s="431"/>
    </row>
    <row r="12" spans="2:21" ht="12" hidden="1" customHeight="1" x14ac:dyDescent="0.2">
      <c r="B12" s="430" t="s">
        <v>88</v>
      </c>
      <c r="C12" s="423"/>
      <c r="D12" s="423"/>
      <c r="E12" s="423"/>
      <c r="F12" s="423"/>
      <c r="G12" s="423"/>
      <c r="H12" s="423"/>
      <c r="I12" s="423"/>
      <c r="J12" s="431"/>
      <c r="U12" s="475"/>
    </row>
    <row r="13" spans="2:21" ht="12" hidden="1" customHeight="1" x14ac:dyDescent="0.2">
      <c r="B13" s="430" t="s">
        <v>179</v>
      </c>
      <c r="C13" s="423"/>
      <c r="D13" s="423"/>
      <c r="E13" s="423"/>
      <c r="F13" s="423"/>
      <c r="G13" s="423"/>
      <c r="H13" s="423"/>
      <c r="I13" s="423"/>
      <c r="J13" s="431"/>
      <c r="U13" s="476"/>
    </row>
    <row r="14" spans="2:21" ht="12" hidden="1" customHeight="1" x14ac:dyDescent="0.2">
      <c r="B14" s="430" t="s">
        <v>89</v>
      </c>
      <c r="C14" s="423"/>
      <c r="D14" s="423"/>
      <c r="E14" s="423"/>
      <c r="F14" s="423"/>
      <c r="G14" s="423"/>
      <c r="H14" s="423"/>
      <c r="I14" s="423"/>
      <c r="J14" s="431"/>
      <c r="U14" s="477"/>
    </row>
    <row r="15" spans="2:21" ht="12" hidden="1" customHeight="1" x14ac:dyDescent="0.2">
      <c r="B15" s="430" t="s">
        <v>180</v>
      </c>
      <c r="C15" s="423"/>
      <c r="D15" s="423"/>
      <c r="E15" s="423"/>
      <c r="F15" s="423"/>
      <c r="G15" s="423"/>
      <c r="H15" s="423"/>
      <c r="I15" s="423"/>
      <c r="J15" s="431"/>
    </row>
    <row r="16" spans="2:21" ht="12" hidden="1" customHeight="1" x14ac:dyDescent="0.2">
      <c r="B16" s="430" t="s">
        <v>181</v>
      </c>
      <c r="C16" s="423"/>
      <c r="D16" s="423"/>
      <c r="E16" s="423"/>
      <c r="F16" s="423"/>
      <c r="G16" s="423"/>
      <c r="H16" s="423"/>
      <c r="I16" s="423"/>
      <c r="J16" s="431"/>
    </row>
    <row r="17" spans="2:21" ht="12.75" x14ac:dyDescent="0.2">
      <c r="B17" s="428" t="s">
        <v>152</v>
      </c>
      <c r="C17" s="423"/>
      <c r="D17" s="423"/>
      <c r="E17" s="423"/>
      <c r="F17" s="423"/>
      <c r="G17" s="423"/>
      <c r="H17" s="423"/>
      <c r="I17" s="423"/>
      <c r="J17" s="431"/>
      <c r="U17" s="376"/>
    </row>
    <row r="18" spans="2:21" x14ac:dyDescent="0.2">
      <c r="B18" s="430" t="s">
        <v>91</v>
      </c>
      <c r="C18" s="423">
        <v>0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31">
        <v>0</v>
      </c>
    </row>
    <row r="19" spans="2:21" x14ac:dyDescent="0.2">
      <c r="B19" s="430" t="s">
        <v>182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21" x14ac:dyDescent="0.2">
      <c r="B20" s="430" t="s">
        <v>183</v>
      </c>
      <c r="C20" s="423">
        <v>0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31">
        <v>0</v>
      </c>
    </row>
    <row r="21" spans="2:21" x14ac:dyDescent="0.2">
      <c r="B21" s="430" t="s">
        <v>92</v>
      </c>
      <c r="C21" s="423">
        <v>4</v>
      </c>
      <c r="D21" s="423">
        <v>31778</v>
      </c>
      <c r="E21" s="423">
        <v>3230</v>
      </c>
      <c r="F21" s="423">
        <v>33415</v>
      </c>
      <c r="G21" s="423">
        <v>35307</v>
      </c>
      <c r="H21" s="423">
        <v>8</v>
      </c>
      <c r="I21" s="423">
        <v>4</v>
      </c>
      <c r="J21" s="431">
        <v>4</v>
      </c>
    </row>
    <row r="22" spans="2:21" x14ac:dyDescent="0.2">
      <c r="B22" s="430" t="s">
        <v>184</v>
      </c>
      <c r="C22" s="423">
        <v>0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31">
        <v>0</v>
      </c>
    </row>
    <row r="23" spans="2:21" x14ac:dyDescent="0.2">
      <c r="B23" s="430" t="s">
        <v>185</v>
      </c>
      <c r="C23" s="423">
        <v>0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31">
        <v>0</v>
      </c>
    </row>
    <row r="24" spans="2:21" x14ac:dyDescent="0.2">
      <c r="B24" s="430" t="s">
        <v>186</v>
      </c>
      <c r="C24" s="423">
        <v>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31">
        <v>0</v>
      </c>
    </row>
    <row r="25" spans="2:21" x14ac:dyDescent="0.2">
      <c r="B25" s="430" t="s">
        <v>187</v>
      </c>
      <c r="C25" s="423">
        <v>0</v>
      </c>
      <c r="D25" s="423">
        <v>0</v>
      </c>
      <c r="E25" s="423">
        <v>0</v>
      </c>
      <c r="F25" s="423">
        <v>0</v>
      </c>
      <c r="G25" s="423">
        <v>0</v>
      </c>
      <c r="H25" s="423">
        <v>0</v>
      </c>
      <c r="I25" s="423">
        <v>0</v>
      </c>
      <c r="J25" s="431">
        <v>0</v>
      </c>
    </row>
    <row r="26" spans="2:21" x14ac:dyDescent="0.2">
      <c r="B26" s="434" t="s">
        <v>22</v>
      </c>
      <c r="C26" s="474">
        <f>SUM(C18:C25)</f>
        <v>4</v>
      </c>
      <c r="D26" s="474">
        <f t="shared" ref="D26:J26" si="0">SUM(D18:D25)</f>
        <v>31778</v>
      </c>
      <c r="E26" s="474">
        <f t="shared" si="0"/>
        <v>3230</v>
      </c>
      <c r="F26" s="474">
        <f t="shared" si="0"/>
        <v>33415</v>
      </c>
      <c r="G26" s="474">
        <f t="shared" si="0"/>
        <v>35307</v>
      </c>
      <c r="H26" s="474">
        <f t="shared" si="0"/>
        <v>8</v>
      </c>
      <c r="I26" s="474">
        <f t="shared" si="0"/>
        <v>4</v>
      </c>
      <c r="J26" s="474">
        <f t="shared" si="0"/>
        <v>4</v>
      </c>
    </row>
    <row r="27" spans="2:21" x14ac:dyDescent="0.2">
      <c r="B27" s="461" t="s">
        <v>159</v>
      </c>
      <c r="C27" s="423"/>
      <c r="D27" s="423"/>
      <c r="E27" s="423"/>
      <c r="F27" s="423"/>
      <c r="G27" s="423"/>
      <c r="H27" s="423"/>
      <c r="I27" s="423"/>
      <c r="J27" s="431"/>
    </row>
    <row r="28" spans="2:21" x14ac:dyDescent="0.2">
      <c r="B28" s="430" t="s">
        <v>112</v>
      </c>
      <c r="C28" s="423">
        <v>0</v>
      </c>
      <c r="D28" s="423">
        <v>0</v>
      </c>
      <c r="E28" s="423">
        <v>0</v>
      </c>
      <c r="F28" s="423">
        <v>0</v>
      </c>
      <c r="G28" s="423">
        <v>0</v>
      </c>
      <c r="H28" s="423">
        <v>0</v>
      </c>
      <c r="I28" s="423">
        <v>0</v>
      </c>
      <c r="J28" s="431">
        <v>0</v>
      </c>
    </row>
    <row r="29" spans="2:21" x14ac:dyDescent="0.2">
      <c r="B29" s="430" t="s">
        <v>216</v>
      </c>
      <c r="C29" s="423">
        <v>0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423">
        <v>0</v>
      </c>
      <c r="J29" s="431">
        <v>0</v>
      </c>
    </row>
    <row r="30" spans="2:21" x14ac:dyDescent="0.2">
      <c r="B30" s="430" t="s">
        <v>217</v>
      </c>
      <c r="C30" s="423">
        <v>0</v>
      </c>
      <c r="D30" s="423">
        <v>0</v>
      </c>
      <c r="E30" s="423">
        <v>0</v>
      </c>
      <c r="F30" s="423">
        <v>0</v>
      </c>
      <c r="G30" s="423">
        <v>0</v>
      </c>
      <c r="H30" s="423">
        <v>0</v>
      </c>
      <c r="I30" s="423">
        <v>0</v>
      </c>
      <c r="J30" s="431">
        <v>0</v>
      </c>
    </row>
    <row r="31" spans="2:21" x14ac:dyDescent="0.2">
      <c r="B31" s="430" t="s">
        <v>218</v>
      </c>
      <c r="C31" s="423">
        <v>0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31">
        <v>0</v>
      </c>
    </row>
    <row r="32" spans="2:21" x14ac:dyDescent="0.2">
      <c r="B32" s="430" t="s">
        <v>219</v>
      </c>
      <c r="C32" s="423">
        <v>0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31">
        <v>0</v>
      </c>
    </row>
    <row r="33" spans="2:10" x14ac:dyDescent="0.2">
      <c r="B33" s="430" t="s">
        <v>220</v>
      </c>
      <c r="C33" s="423">
        <v>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31">
        <v>0</v>
      </c>
    </row>
    <row r="34" spans="2:10" x14ac:dyDescent="0.2">
      <c r="B34" s="430" t="s">
        <v>113</v>
      </c>
      <c r="C34" s="423">
        <v>1</v>
      </c>
      <c r="D34" s="423">
        <v>9863</v>
      </c>
      <c r="E34" s="423">
        <v>808</v>
      </c>
      <c r="F34" s="423">
        <v>1208</v>
      </c>
      <c r="G34" s="423">
        <v>5362</v>
      </c>
      <c r="H34" s="423">
        <v>1</v>
      </c>
      <c r="I34" s="423">
        <v>1</v>
      </c>
      <c r="J34" s="431">
        <v>1</v>
      </c>
    </row>
    <row r="35" spans="2:10" x14ac:dyDescent="0.2">
      <c r="B35" s="430" t="s">
        <v>221</v>
      </c>
      <c r="C35" s="423">
        <v>0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31">
        <v>0</v>
      </c>
    </row>
    <row r="36" spans="2:10" x14ac:dyDescent="0.2">
      <c r="B36" s="434" t="s">
        <v>22</v>
      </c>
      <c r="C36" s="434">
        <f>SUM(C28:C35)</f>
        <v>1</v>
      </c>
      <c r="D36" s="474">
        <f t="shared" ref="D36:J36" si="1">SUM(D28:D35)</f>
        <v>9863</v>
      </c>
      <c r="E36" s="434">
        <f t="shared" si="1"/>
        <v>808</v>
      </c>
      <c r="F36" s="434">
        <f t="shared" si="1"/>
        <v>1208</v>
      </c>
      <c r="G36" s="434">
        <f t="shared" si="1"/>
        <v>5362</v>
      </c>
      <c r="H36" s="434">
        <f t="shared" si="1"/>
        <v>1</v>
      </c>
      <c r="I36" s="434">
        <f t="shared" si="1"/>
        <v>1</v>
      </c>
      <c r="J36" s="474">
        <f t="shared" si="1"/>
        <v>1</v>
      </c>
    </row>
    <row r="37" spans="2:10" x14ac:dyDescent="0.2">
      <c r="B37" s="428" t="s">
        <v>154</v>
      </c>
      <c r="C37" s="443"/>
      <c r="D37" s="423"/>
      <c r="E37" s="423"/>
      <c r="F37" s="423"/>
      <c r="G37" s="423"/>
      <c r="H37" s="423"/>
      <c r="I37" s="423"/>
      <c r="J37" s="431"/>
    </row>
    <row r="38" spans="2:10" x14ac:dyDescent="0.2">
      <c r="B38" s="430" t="s">
        <v>194</v>
      </c>
      <c r="C38" s="443">
        <v>0</v>
      </c>
      <c r="D38" s="423">
        <v>0</v>
      </c>
      <c r="E38" s="423">
        <v>0</v>
      </c>
      <c r="F38" s="423">
        <v>0</v>
      </c>
      <c r="G38" s="423">
        <v>0</v>
      </c>
      <c r="H38" s="423">
        <v>0</v>
      </c>
      <c r="I38" s="423">
        <v>0</v>
      </c>
      <c r="J38" s="431">
        <v>0</v>
      </c>
    </row>
    <row r="39" spans="2:10" x14ac:dyDescent="0.2">
      <c r="B39" s="430" t="s">
        <v>195</v>
      </c>
      <c r="C39" s="443">
        <v>0</v>
      </c>
      <c r="D39" s="423">
        <v>0</v>
      </c>
      <c r="E39" s="423">
        <v>0</v>
      </c>
      <c r="F39" s="423">
        <v>0</v>
      </c>
      <c r="G39" s="423">
        <v>0</v>
      </c>
      <c r="H39" s="423">
        <v>0</v>
      </c>
      <c r="I39" s="423">
        <v>0</v>
      </c>
      <c r="J39" s="431">
        <v>0</v>
      </c>
    </row>
    <row r="40" spans="2:10" x14ac:dyDescent="0.2">
      <c r="B40" s="430" t="s">
        <v>102</v>
      </c>
      <c r="C40" s="443">
        <v>1</v>
      </c>
      <c r="D40" s="423">
        <v>10948</v>
      </c>
      <c r="E40" s="161">
        <v>853</v>
      </c>
      <c r="F40" s="423">
        <v>2489</v>
      </c>
      <c r="G40" s="423">
        <v>6973</v>
      </c>
      <c r="H40" s="423">
        <v>2</v>
      </c>
      <c r="I40" s="423">
        <v>1</v>
      </c>
      <c r="J40" s="431">
        <v>1</v>
      </c>
    </row>
    <row r="41" spans="2:10" x14ac:dyDescent="0.2">
      <c r="B41" s="430" t="s">
        <v>196</v>
      </c>
      <c r="C41" s="443">
        <v>0</v>
      </c>
      <c r="D41" s="423">
        <v>0</v>
      </c>
      <c r="E41" s="423">
        <v>0</v>
      </c>
      <c r="F41" s="423">
        <v>0</v>
      </c>
      <c r="G41" s="423">
        <v>0</v>
      </c>
      <c r="H41" s="423">
        <v>0</v>
      </c>
      <c r="I41" s="423">
        <v>0</v>
      </c>
      <c r="J41" s="431">
        <v>0</v>
      </c>
    </row>
    <row r="42" spans="2:10" x14ac:dyDescent="0.2">
      <c r="B42" s="430" t="s">
        <v>197</v>
      </c>
      <c r="C42" s="443">
        <v>0</v>
      </c>
      <c r="D42" s="423">
        <v>0</v>
      </c>
      <c r="E42" s="423">
        <v>0</v>
      </c>
      <c r="F42" s="423">
        <v>0</v>
      </c>
      <c r="G42" s="423">
        <v>0</v>
      </c>
      <c r="H42" s="423">
        <v>0</v>
      </c>
      <c r="I42" s="423">
        <v>0</v>
      </c>
      <c r="J42" s="431">
        <v>0</v>
      </c>
    </row>
    <row r="43" spans="2:10" x14ac:dyDescent="0.2">
      <c r="B43" s="430" t="s">
        <v>198</v>
      </c>
      <c r="C43" s="443">
        <v>0</v>
      </c>
      <c r="D43" s="423">
        <v>0</v>
      </c>
      <c r="E43" s="423">
        <v>0</v>
      </c>
      <c r="F43" s="423">
        <v>0</v>
      </c>
      <c r="G43" s="423">
        <v>0</v>
      </c>
      <c r="H43" s="423">
        <v>0</v>
      </c>
      <c r="I43" s="423">
        <v>0</v>
      </c>
      <c r="J43" s="431">
        <v>0</v>
      </c>
    </row>
    <row r="44" spans="2:10" x14ac:dyDescent="0.2">
      <c r="B44" s="434" t="s">
        <v>22</v>
      </c>
      <c r="C44" s="434">
        <f>SUM(C38:C43)</f>
        <v>1</v>
      </c>
      <c r="D44" s="434">
        <f t="shared" ref="D44:J44" si="2">SUM(D38:D43)</f>
        <v>10948</v>
      </c>
      <c r="E44" s="434">
        <f t="shared" si="2"/>
        <v>853</v>
      </c>
      <c r="F44" s="434">
        <f t="shared" si="2"/>
        <v>2489</v>
      </c>
      <c r="G44" s="434">
        <f t="shared" si="2"/>
        <v>6973</v>
      </c>
      <c r="H44" s="434">
        <f t="shared" si="2"/>
        <v>2</v>
      </c>
      <c r="I44" s="434">
        <f t="shared" si="2"/>
        <v>1</v>
      </c>
      <c r="J44" s="434">
        <f t="shared" si="2"/>
        <v>1</v>
      </c>
    </row>
    <row r="45" spans="2:10" x14ac:dyDescent="0.2">
      <c r="B45" s="428" t="s">
        <v>153</v>
      </c>
      <c r="C45" s="423"/>
      <c r="D45" s="423"/>
      <c r="E45" s="423"/>
      <c r="F45" s="423"/>
      <c r="G45" s="423"/>
      <c r="H45" s="423"/>
      <c r="I45" s="423"/>
      <c r="J45" s="431"/>
    </row>
    <row r="46" spans="2:10" x14ac:dyDescent="0.2">
      <c r="B46" s="430" t="s">
        <v>94</v>
      </c>
      <c r="C46" s="423">
        <v>1</v>
      </c>
      <c r="D46" s="423">
        <v>2205</v>
      </c>
      <c r="E46" s="423">
        <v>762</v>
      </c>
      <c r="F46" s="423">
        <v>2004</v>
      </c>
      <c r="G46" s="423">
        <v>2095</v>
      </c>
      <c r="H46" s="423">
        <v>1</v>
      </c>
      <c r="I46" s="423">
        <v>1</v>
      </c>
      <c r="J46" s="431">
        <v>1</v>
      </c>
    </row>
    <row r="47" spans="2:10" x14ac:dyDescent="0.2">
      <c r="B47" s="430" t="s">
        <v>188</v>
      </c>
      <c r="C47" s="423">
        <v>0</v>
      </c>
      <c r="D47" s="423">
        <v>0</v>
      </c>
      <c r="E47" s="423">
        <v>0</v>
      </c>
      <c r="F47" s="423">
        <v>0</v>
      </c>
      <c r="G47" s="423">
        <v>0</v>
      </c>
      <c r="H47" s="423">
        <v>0</v>
      </c>
      <c r="I47" s="423">
        <v>0</v>
      </c>
      <c r="J47" s="431">
        <v>0</v>
      </c>
    </row>
    <row r="48" spans="2:10" x14ac:dyDescent="0.2">
      <c r="B48" s="430" t="s">
        <v>189</v>
      </c>
      <c r="C48" s="423">
        <v>0</v>
      </c>
      <c r="D48" s="423">
        <v>0</v>
      </c>
      <c r="E48" s="423">
        <v>0</v>
      </c>
      <c r="F48" s="423">
        <v>0</v>
      </c>
      <c r="G48" s="423">
        <v>0</v>
      </c>
      <c r="H48" s="423">
        <v>0</v>
      </c>
      <c r="I48" s="423">
        <v>0</v>
      </c>
      <c r="J48" s="431">
        <v>0</v>
      </c>
    </row>
    <row r="49" spans="2:10" x14ac:dyDescent="0.2">
      <c r="B49" s="430" t="s">
        <v>95</v>
      </c>
      <c r="C49" s="423">
        <v>0</v>
      </c>
      <c r="D49" s="423">
        <v>0</v>
      </c>
      <c r="E49" s="423">
        <v>0</v>
      </c>
      <c r="F49" s="423">
        <v>0</v>
      </c>
      <c r="G49" s="423">
        <v>0</v>
      </c>
      <c r="H49" s="423">
        <v>0</v>
      </c>
      <c r="I49" s="423">
        <v>0</v>
      </c>
      <c r="J49" s="431">
        <v>0</v>
      </c>
    </row>
    <row r="50" spans="2:10" x14ac:dyDescent="0.2">
      <c r="B50" s="430" t="s">
        <v>96</v>
      </c>
      <c r="C50" s="423">
        <v>0</v>
      </c>
      <c r="D50" s="423">
        <v>0</v>
      </c>
      <c r="E50" s="423">
        <v>0</v>
      </c>
      <c r="F50" s="423">
        <v>0</v>
      </c>
      <c r="G50" s="423">
        <v>0</v>
      </c>
      <c r="H50" s="423">
        <v>0</v>
      </c>
      <c r="I50" s="423">
        <v>0</v>
      </c>
      <c r="J50" s="431">
        <v>0</v>
      </c>
    </row>
    <row r="51" spans="2:10" x14ac:dyDescent="0.2">
      <c r="B51" s="432" t="s">
        <v>190</v>
      </c>
      <c r="C51" s="423">
        <v>0</v>
      </c>
      <c r="D51" s="423">
        <v>0</v>
      </c>
      <c r="E51" s="423">
        <v>0</v>
      </c>
      <c r="F51" s="423">
        <v>0</v>
      </c>
      <c r="G51" s="423">
        <v>0</v>
      </c>
      <c r="H51" s="423">
        <v>0</v>
      </c>
      <c r="I51" s="423">
        <v>0</v>
      </c>
      <c r="J51" s="433">
        <v>0</v>
      </c>
    </row>
    <row r="52" spans="2:10" x14ac:dyDescent="0.2">
      <c r="B52" s="434" t="s">
        <v>22</v>
      </c>
      <c r="C52" s="478">
        <f>SUM(C46:C51)</f>
        <v>1</v>
      </c>
      <c r="D52" s="478">
        <f t="shared" ref="D52:J52" si="3">SUM(D46:D51)</f>
        <v>2205</v>
      </c>
      <c r="E52" s="478">
        <f t="shared" si="3"/>
        <v>762</v>
      </c>
      <c r="F52" s="478">
        <f t="shared" si="3"/>
        <v>2004</v>
      </c>
      <c r="G52" s="478">
        <f t="shared" si="3"/>
        <v>2095</v>
      </c>
      <c r="H52" s="478">
        <f t="shared" si="3"/>
        <v>1</v>
      </c>
      <c r="I52" s="478">
        <f t="shared" si="3"/>
        <v>1</v>
      </c>
      <c r="J52" s="474">
        <f t="shared" si="3"/>
        <v>1</v>
      </c>
    </row>
    <row r="53" spans="2:10" x14ac:dyDescent="0.2">
      <c r="B53" s="441" t="s">
        <v>97</v>
      </c>
      <c r="C53" s="423"/>
      <c r="D53" s="423"/>
      <c r="E53" s="423"/>
      <c r="F53" s="423"/>
      <c r="G53" s="423"/>
      <c r="H53" s="423"/>
      <c r="I53" s="423"/>
      <c r="J53" s="431"/>
    </row>
    <row r="54" spans="2:10" x14ac:dyDescent="0.2">
      <c r="B54" s="430" t="s">
        <v>98</v>
      </c>
      <c r="C54" s="423">
        <v>0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31">
        <v>0</v>
      </c>
    </row>
    <row r="55" spans="2:10" x14ac:dyDescent="0.2">
      <c r="B55" s="430" t="s">
        <v>99</v>
      </c>
      <c r="C55" s="423">
        <v>0</v>
      </c>
      <c r="D55" s="423">
        <v>0</v>
      </c>
      <c r="E55" s="423">
        <v>0</v>
      </c>
      <c r="F55" s="423">
        <v>0</v>
      </c>
      <c r="G55" s="423">
        <v>0</v>
      </c>
      <c r="H55" s="423">
        <v>0</v>
      </c>
      <c r="I55" s="423">
        <v>0</v>
      </c>
      <c r="J55" s="431">
        <v>0</v>
      </c>
    </row>
    <row r="56" spans="2:10" x14ac:dyDescent="0.2">
      <c r="B56" s="430" t="s">
        <v>100</v>
      </c>
      <c r="C56" s="423">
        <v>2</v>
      </c>
      <c r="D56" s="423">
        <v>9827</v>
      </c>
      <c r="E56" s="423">
        <v>1104</v>
      </c>
      <c r="F56" s="423">
        <v>9129</v>
      </c>
      <c r="G56" s="423">
        <v>9333</v>
      </c>
      <c r="H56" s="423">
        <v>1</v>
      </c>
      <c r="I56" s="423">
        <v>2</v>
      </c>
      <c r="J56" s="431">
        <v>2</v>
      </c>
    </row>
    <row r="57" spans="2:10" x14ac:dyDescent="0.2">
      <c r="B57" s="430" t="s">
        <v>192</v>
      </c>
      <c r="C57" s="423">
        <v>0</v>
      </c>
      <c r="D57" s="423">
        <v>0</v>
      </c>
      <c r="E57" s="423">
        <v>0</v>
      </c>
      <c r="F57" s="423">
        <v>0</v>
      </c>
      <c r="G57" s="423">
        <v>0</v>
      </c>
      <c r="H57" s="423">
        <v>0</v>
      </c>
      <c r="I57" s="423">
        <v>0</v>
      </c>
      <c r="J57" s="431">
        <v>0</v>
      </c>
    </row>
    <row r="58" spans="2:10" x14ac:dyDescent="0.2">
      <c r="B58" s="432" t="s">
        <v>193</v>
      </c>
      <c r="C58" s="423">
        <v>0</v>
      </c>
      <c r="D58" s="423">
        <v>0</v>
      </c>
      <c r="E58" s="423">
        <v>0</v>
      </c>
      <c r="F58" s="423">
        <v>0</v>
      </c>
      <c r="G58" s="423">
        <v>0</v>
      </c>
      <c r="H58" s="423">
        <v>0</v>
      </c>
      <c r="I58" s="423">
        <v>0</v>
      </c>
      <c r="J58" s="431">
        <v>0</v>
      </c>
    </row>
    <row r="59" spans="2:10" ht="12" customHeight="1" x14ac:dyDescent="0.2">
      <c r="B59" s="434" t="s">
        <v>22</v>
      </c>
      <c r="C59" s="434">
        <f>SUM(C54:C58)</f>
        <v>2</v>
      </c>
      <c r="D59" s="434">
        <f t="shared" ref="D59:J59" si="4">SUM(D54:D58)</f>
        <v>9827</v>
      </c>
      <c r="E59" s="434">
        <f t="shared" si="4"/>
        <v>1104</v>
      </c>
      <c r="F59" s="434">
        <f t="shared" si="4"/>
        <v>9129</v>
      </c>
      <c r="G59" s="434">
        <f t="shared" si="4"/>
        <v>9333</v>
      </c>
      <c r="H59" s="434">
        <f t="shared" si="4"/>
        <v>1</v>
      </c>
      <c r="I59" s="434">
        <f t="shared" si="4"/>
        <v>2</v>
      </c>
      <c r="J59" s="434">
        <f t="shared" si="4"/>
        <v>2</v>
      </c>
    </row>
    <row r="60" spans="2:10" ht="12" hidden="1" customHeight="1" x14ac:dyDescent="0.2">
      <c r="B60" s="428"/>
      <c r="C60" s="423"/>
      <c r="D60" s="423"/>
      <c r="E60" s="423"/>
      <c r="F60" s="423"/>
      <c r="G60" s="423"/>
      <c r="H60" s="423"/>
      <c r="I60" s="423"/>
      <c r="J60" s="431"/>
    </row>
    <row r="61" spans="2:10" ht="12" hidden="1" customHeight="1" x14ac:dyDescent="0.2">
      <c r="B61" s="430"/>
      <c r="C61" s="423"/>
      <c r="D61" s="423"/>
      <c r="E61" s="423"/>
      <c r="F61" s="423"/>
      <c r="G61" s="423"/>
      <c r="H61" s="423"/>
      <c r="I61" s="423"/>
      <c r="J61" s="431"/>
    </row>
    <row r="62" spans="2:10" ht="12" hidden="1" customHeight="1" x14ac:dyDescent="0.2">
      <c r="B62" s="430"/>
      <c r="C62" s="423"/>
      <c r="D62" s="423"/>
      <c r="E62" s="423"/>
      <c r="F62" s="423"/>
      <c r="G62" s="423"/>
      <c r="H62" s="423"/>
      <c r="I62" s="423"/>
      <c r="J62" s="431"/>
    </row>
    <row r="63" spans="2:10" ht="12" hidden="1" customHeight="1" x14ac:dyDescent="0.2">
      <c r="B63" s="430"/>
      <c r="C63" s="423"/>
      <c r="D63" s="423"/>
      <c r="E63" s="423"/>
      <c r="F63" s="423"/>
      <c r="G63" s="423"/>
      <c r="H63" s="423"/>
      <c r="I63" s="423"/>
      <c r="J63" s="431"/>
    </row>
    <row r="64" spans="2:10" ht="12" hidden="1" customHeight="1" x14ac:dyDescent="0.2">
      <c r="B64" s="430"/>
      <c r="C64" s="423"/>
      <c r="D64" s="423"/>
      <c r="E64" s="423"/>
      <c r="F64" s="423"/>
      <c r="G64" s="423"/>
      <c r="H64" s="423"/>
      <c r="I64" s="423"/>
      <c r="J64" s="431"/>
    </row>
    <row r="65" spans="2:10" ht="12" hidden="1" customHeight="1" x14ac:dyDescent="0.2">
      <c r="B65" s="430"/>
      <c r="C65" s="423"/>
      <c r="D65" s="423"/>
      <c r="E65" s="423"/>
      <c r="F65" s="423"/>
      <c r="G65" s="423"/>
      <c r="H65" s="423"/>
      <c r="I65" s="423"/>
      <c r="J65" s="431"/>
    </row>
    <row r="66" spans="2:10" ht="12" hidden="1" customHeight="1" x14ac:dyDescent="0.2">
      <c r="B66" s="430"/>
      <c r="C66" s="423"/>
      <c r="D66" s="423"/>
      <c r="E66" s="423"/>
      <c r="F66" s="423"/>
      <c r="G66" s="423"/>
      <c r="H66" s="423"/>
      <c r="I66" s="423"/>
      <c r="J66" s="431"/>
    </row>
    <row r="67" spans="2:10" ht="12" hidden="1" customHeight="1" x14ac:dyDescent="0.2">
      <c r="B67" s="430"/>
      <c r="C67" s="423"/>
      <c r="D67" s="423"/>
      <c r="E67" s="423"/>
      <c r="F67" s="423"/>
      <c r="G67" s="423"/>
      <c r="H67" s="423"/>
      <c r="I67" s="423"/>
      <c r="J67" s="431"/>
    </row>
    <row r="68" spans="2:10" ht="14.25" hidden="1" customHeight="1" x14ac:dyDescent="0.2">
      <c r="B68" s="479"/>
      <c r="C68" s="480"/>
      <c r="D68" s="480"/>
      <c r="E68" s="480"/>
      <c r="F68" s="480"/>
      <c r="G68" s="480"/>
      <c r="H68" s="480"/>
      <c r="I68" s="480"/>
      <c r="J68" s="480"/>
    </row>
    <row r="69" spans="2:10" ht="12" hidden="1" customHeight="1" x14ac:dyDescent="0.2">
      <c r="B69" s="428"/>
      <c r="C69" s="423"/>
      <c r="D69" s="423"/>
      <c r="E69" s="423"/>
      <c r="F69" s="423"/>
      <c r="G69" s="423"/>
      <c r="H69" s="423"/>
      <c r="I69" s="423"/>
      <c r="J69" s="431"/>
    </row>
    <row r="70" spans="2:10" ht="12" hidden="1" customHeight="1" x14ac:dyDescent="0.2">
      <c r="B70" s="430"/>
      <c r="C70" s="423"/>
      <c r="D70" s="423"/>
      <c r="E70" s="423"/>
      <c r="F70" s="423"/>
      <c r="G70" s="423"/>
      <c r="H70" s="423"/>
      <c r="I70" s="423"/>
      <c r="J70" s="431"/>
    </row>
    <row r="71" spans="2:10" ht="12" hidden="1" customHeight="1" x14ac:dyDescent="0.2">
      <c r="B71" s="430"/>
      <c r="C71" s="423"/>
      <c r="D71" s="423"/>
      <c r="E71" s="423"/>
      <c r="F71" s="423"/>
      <c r="G71" s="423"/>
      <c r="H71" s="423"/>
      <c r="I71" s="423"/>
      <c r="J71" s="431"/>
    </row>
    <row r="72" spans="2:10" ht="12" hidden="1" customHeight="1" x14ac:dyDescent="0.2">
      <c r="B72" s="430"/>
      <c r="C72" s="423"/>
      <c r="D72" s="423"/>
      <c r="E72" s="423"/>
      <c r="F72" s="423"/>
      <c r="G72" s="423"/>
      <c r="H72" s="423"/>
      <c r="I72" s="423"/>
      <c r="J72" s="431"/>
    </row>
    <row r="73" spans="2:10" ht="12" hidden="1" customHeight="1" x14ac:dyDescent="0.2">
      <c r="B73" s="430"/>
      <c r="C73" s="423"/>
      <c r="D73" s="423"/>
      <c r="E73" s="423"/>
      <c r="F73" s="423"/>
      <c r="G73" s="423"/>
      <c r="H73" s="423"/>
      <c r="I73" s="423"/>
      <c r="J73" s="431"/>
    </row>
    <row r="74" spans="2:10" ht="12" hidden="1" customHeight="1" x14ac:dyDescent="0.2">
      <c r="B74" s="430"/>
      <c r="C74" s="423"/>
      <c r="D74" s="423"/>
      <c r="E74" s="423"/>
      <c r="F74" s="423"/>
      <c r="G74" s="423"/>
      <c r="H74" s="423"/>
      <c r="I74" s="423"/>
      <c r="J74" s="431"/>
    </row>
    <row r="75" spans="2:10" ht="18.75" hidden="1" customHeight="1" x14ac:dyDescent="0.2">
      <c r="B75" s="479"/>
      <c r="C75" s="480"/>
      <c r="D75" s="480"/>
      <c r="E75" s="480"/>
      <c r="F75" s="480"/>
      <c r="G75" s="480"/>
      <c r="H75" s="480"/>
      <c r="I75" s="480"/>
      <c r="J75" s="480"/>
    </row>
    <row r="76" spans="2:10" ht="12" hidden="1" customHeight="1" x14ac:dyDescent="0.2">
      <c r="B76" s="428"/>
      <c r="C76" s="423"/>
      <c r="D76" s="423"/>
      <c r="E76" s="423"/>
      <c r="F76" s="423"/>
      <c r="G76" s="423"/>
      <c r="H76" s="423"/>
      <c r="I76" s="423"/>
      <c r="J76" s="431"/>
    </row>
    <row r="77" spans="2:10" ht="12" hidden="1" customHeight="1" x14ac:dyDescent="0.2">
      <c r="B77" s="430"/>
      <c r="C77" s="423"/>
      <c r="D77" s="423"/>
      <c r="E77" s="423"/>
      <c r="F77" s="423"/>
      <c r="G77" s="423"/>
      <c r="H77" s="423"/>
      <c r="I77" s="423"/>
      <c r="J77" s="431"/>
    </row>
    <row r="78" spans="2:10" ht="12" hidden="1" customHeight="1" x14ac:dyDescent="0.2">
      <c r="B78" s="430"/>
      <c r="C78" s="423"/>
      <c r="D78" s="423"/>
      <c r="E78" s="423"/>
      <c r="F78" s="423"/>
      <c r="G78" s="423"/>
      <c r="H78" s="423"/>
      <c r="I78" s="423"/>
      <c r="J78" s="431"/>
    </row>
    <row r="79" spans="2:10" ht="12" hidden="1" customHeight="1" x14ac:dyDescent="0.2">
      <c r="B79" s="430"/>
      <c r="C79" s="423"/>
      <c r="D79" s="423"/>
      <c r="E79" s="423"/>
      <c r="F79" s="423"/>
      <c r="G79" s="423"/>
      <c r="H79" s="423"/>
      <c r="I79" s="423"/>
      <c r="J79" s="431"/>
    </row>
    <row r="80" spans="2:10" ht="12" hidden="1" customHeight="1" x14ac:dyDescent="0.2">
      <c r="B80" s="430"/>
      <c r="C80" s="423"/>
      <c r="D80" s="423"/>
      <c r="E80" s="423"/>
      <c r="F80" s="423"/>
      <c r="G80" s="423"/>
      <c r="H80" s="423"/>
      <c r="I80" s="423"/>
      <c r="J80" s="431"/>
    </row>
    <row r="81" spans="2:10" ht="12" hidden="1" customHeight="1" x14ac:dyDescent="0.2">
      <c r="B81" s="430"/>
      <c r="C81" s="423"/>
      <c r="D81" s="423"/>
      <c r="E81" s="423"/>
      <c r="F81" s="423"/>
      <c r="G81" s="423"/>
      <c r="H81" s="423"/>
      <c r="I81" s="423"/>
      <c r="J81" s="431"/>
    </row>
    <row r="82" spans="2:10" ht="12" hidden="1" customHeight="1" x14ac:dyDescent="0.2">
      <c r="B82" s="430"/>
      <c r="C82" s="423"/>
      <c r="D82" s="423"/>
      <c r="E82" s="423"/>
      <c r="F82" s="423"/>
      <c r="G82" s="423"/>
      <c r="H82" s="423"/>
      <c r="I82" s="423"/>
      <c r="J82" s="431"/>
    </row>
    <row r="83" spans="2:10" ht="16.5" hidden="1" customHeight="1" x14ac:dyDescent="0.2">
      <c r="B83" s="479"/>
      <c r="C83" s="480"/>
      <c r="D83" s="480"/>
      <c r="E83" s="480"/>
      <c r="F83" s="480"/>
      <c r="G83" s="480"/>
      <c r="H83" s="480"/>
      <c r="I83" s="480"/>
      <c r="J83" s="480"/>
    </row>
    <row r="84" spans="2:10" ht="12" hidden="1" customHeight="1" x14ac:dyDescent="0.2">
      <c r="B84" s="481"/>
      <c r="C84" s="423"/>
      <c r="D84" s="423"/>
      <c r="E84" s="423"/>
      <c r="F84" s="423"/>
      <c r="G84" s="423"/>
      <c r="H84" s="423"/>
      <c r="I84" s="423"/>
      <c r="J84" s="431"/>
    </row>
    <row r="85" spans="2:10" ht="12" hidden="1" customHeight="1" x14ac:dyDescent="0.2">
      <c r="B85" s="481"/>
      <c r="C85" s="423"/>
      <c r="D85" s="423"/>
      <c r="E85" s="423"/>
      <c r="F85" s="423"/>
      <c r="G85" s="423"/>
      <c r="H85" s="423"/>
      <c r="I85" s="423"/>
      <c r="J85" s="431"/>
    </row>
    <row r="86" spans="2:10" ht="12" hidden="1" customHeight="1" x14ac:dyDescent="0.2">
      <c r="B86" s="481"/>
      <c r="C86" s="423"/>
      <c r="D86" s="423"/>
      <c r="E86" s="423"/>
      <c r="F86" s="423"/>
      <c r="G86" s="423"/>
      <c r="H86" s="423"/>
      <c r="I86" s="423"/>
      <c r="J86" s="431"/>
    </row>
    <row r="87" spans="2:10" ht="12" hidden="1" customHeight="1" x14ac:dyDescent="0.2">
      <c r="B87" s="481"/>
      <c r="C87" s="423"/>
      <c r="D87" s="423"/>
      <c r="E87" s="423"/>
      <c r="F87" s="423"/>
      <c r="G87" s="423"/>
      <c r="H87" s="423"/>
      <c r="I87" s="423"/>
      <c r="J87" s="431"/>
    </row>
    <row r="88" spans="2:10" ht="12" hidden="1" customHeight="1" x14ac:dyDescent="0.2">
      <c r="B88" s="481"/>
      <c r="C88" s="423"/>
      <c r="D88" s="423"/>
      <c r="E88" s="423"/>
      <c r="F88" s="423"/>
      <c r="G88" s="423"/>
      <c r="H88" s="423"/>
      <c r="I88" s="423"/>
      <c r="J88" s="431"/>
    </row>
    <row r="89" spans="2:10" ht="12" hidden="1" customHeight="1" x14ac:dyDescent="0.2">
      <c r="B89" s="481"/>
      <c r="C89" s="423"/>
      <c r="D89" s="423"/>
      <c r="E89" s="423"/>
      <c r="F89" s="423"/>
      <c r="G89" s="423"/>
      <c r="H89" s="423"/>
      <c r="I89" s="423"/>
      <c r="J89" s="431"/>
    </row>
    <row r="90" spans="2:10" ht="12" hidden="1" customHeight="1" x14ac:dyDescent="0.2">
      <c r="B90" s="481"/>
      <c r="C90" s="423"/>
      <c r="D90" s="423"/>
      <c r="E90" s="423"/>
      <c r="F90" s="423"/>
      <c r="G90" s="423"/>
      <c r="H90" s="423"/>
      <c r="I90" s="423"/>
      <c r="J90" s="431"/>
    </row>
    <row r="91" spans="2:10" ht="12" hidden="1" customHeight="1" x14ac:dyDescent="0.2">
      <c r="B91" s="481"/>
      <c r="C91" s="423"/>
      <c r="D91" s="423"/>
      <c r="E91" s="423"/>
      <c r="F91" s="423"/>
      <c r="G91" s="423"/>
      <c r="H91" s="423"/>
      <c r="I91" s="423"/>
      <c r="J91" s="431"/>
    </row>
    <row r="92" spans="2:10" ht="12" hidden="1" customHeight="1" x14ac:dyDescent="0.2">
      <c r="B92" s="481"/>
      <c r="C92" s="423"/>
      <c r="D92" s="423"/>
      <c r="E92" s="423"/>
      <c r="F92" s="423"/>
      <c r="G92" s="423"/>
      <c r="H92" s="423"/>
      <c r="I92" s="423"/>
      <c r="J92" s="431"/>
    </row>
    <row r="93" spans="2:10" ht="12" hidden="1" customHeight="1" x14ac:dyDescent="0.2">
      <c r="B93" s="430"/>
      <c r="C93" s="423"/>
      <c r="D93" s="423"/>
      <c r="E93" s="423"/>
      <c r="F93" s="423"/>
      <c r="G93" s="423"/>
      <c r="H93" s="423"/>
      <c r="I93" s="423"/>
      <c r="J93" s="431"/>
    </row>
    <row r="94" spans="2:10" s="175" customFormat="1" ht="15.75" hidden="1" customHeight="1" x14ac:dyDescent="0.25">
      <c r="B94" s="1014"/>
      <c r="C94" s="1015"/>
      <c r="D94" s="1015"/>
      <c r="E94" s="1015"/>
      <c r="F94" s="1015"/>
      <c r="G94" s="1015"/>
      <c r="H94" s="1015"/>
      <c r="I94" s="1015"/>
      <c r="J94" s="1016"/>
    </row>
    <row r="95" spans="2:10" s="175" customFormat="1" ht="15.75" hidden="1" customHeight="1" x14ac:dyDescent="0.25">
      <c r="B95" s="504"/>
      <c r="C95" s="423"/>
      <c r="D95" s="423"/>
      <c r="E95" s="423"/>
      <c r="F95" s="423"/>
      <c r="G95" s="423"/>
      <c r="H95" s="423"/>
      <c r="I95" s="1015"/>
      <c r="J95" s="1016"/>
    </row>
    <row r="96" spans="2:10" s="175" customFormat="1" ht="15.75" hidden="1" customHeight="1" x14ac:dyDescent="0.25">
      <c r="B96" s="1017"/>
      <c r="C96" s="1018"/>
      <c r="D96" s="1018"/>
      <c r="E96" s="1018"/>
      <c r="F96" s="1018"/>
      <c r="G96" s="1018"/>
      <c r="H96" s="1018"/>
      <c r="I96" s="1018"/>
      <c r="J96" s="1019"/>
    </row>
    <row r="97" spans="2:12" ht="12" hidden="1" customHeight="1" x14ac:dyDescent="0.2">
      <c r="B97" s="481"/>
      <c r="C97" s="423"/>
      <c r="D97" s="423"/>
      <c r="E97" s="423"/>
      <c r="F97" s="423"/>
      <c r="G97" s="423"/>
      <c r="H97" s="423"/>
      <c r="I97" s="423"/>
      <c r="J97" s="431"/>
    </row>
    <row r="98" spans="2:12" s="425" customFormat="1" ht="11.25" hidden="1" customHeight="1" x14ac:dyDescent="0.2">
      <c r="B98" s="505"/>
      <c r="C98" s="575"/>
      <c r="D98" s="507"/>
      <c r="E98" s="507"/>
      <c r="F98" s="507"/>
      <c r="G98" s="507"/>
      <c r="H98" s="507"/>
      <c r="I98" s="1011"/>
      <c r="J98" s="1012"/>
      <c r="K98" s="424"/>
      <c r="L98" s="424"/>
    </row>
    <row r="99" spans="2:12" s="425" customFormat="1" ht="11.25" hidden="1" customHeight="1" x14ac:dyDescent="0.2">
      <c r="B99" s="508"/>
      <c r="C99" s="509"/>
      <c r="D99" s="510"/>
      <c r="E99" s="510"/>
      <c r="F99" s="510"/>
      <c r="G99" s="510"/>
      <c r="H99" s="510"/>
      <c r="I99" s="1009"/>
      <c r="J99" s="1010"/>
      <c r="K99" s="424"/>
      <c r="L99" s="424"/>
    </row>
    <row r="100" spans="2:12" s="425" customFormat="1" ht="11.25" hidden="1" customHeight="1" x14ac:dyDescent="0.2">
      <c r="B100" s="511"/>
      <c r="C100" s="509"/>
      <c r="D100" s="510"/>
      <c r="E100" s="510"/>
      <c r="F100" s="510"/>
      <c r="G100" s="510"/>
      <c r="H100" s="510"/>
      <c r="I100" s="574"/>
      <c r="J100" s="575"/>
      <c r="K100" s="424"/>
      <c r="L100" s="424"/>
    </row>
    <row r="101" spans="2:12" s="425" customFormat="1" ht="11.25" hidden="1" customHeight="1" x14ac:dyDescent="0.2">
      <c r="B101" s="513"/>
      <c r="C101" s="509"/>
      <c r="D101" s="510"/>
      <c r="E101" s="514"/>
      <c r="F101" s="514"/>
      <c r="G101" s="510"/>
      <c r="H101" s="514"/>
      <c r="I101" s="515"/>
      <c r="J101" s="509"/>
      <c r="K101" s="424"/>
      <c r="L101" s="424"/>
    </row>
    <row r="102" spans="2:12" ht="12" hidden="1" customHeight="1" x14ac:dyDescent="0.2">
      <c r="B102" s="435"/>
      <c r="C102" s="436"/>
      <c r="D102" s="436"/>
      <c r="E102" s="436"/>
      <c r="F102" s="436"/>
      <c r="G102" s="436"/>
      <c r="H102" s="436"/>
      <c r="I102" s="436"/>
      <c r="J102" s="436"/>
      <c r="K102" s="437"/>
      <c r="L102" s="437"/>
    </row>
    <row r="103" spans="2:12" ht="12" hidden="1" customHeight="1" x14ac:dyDescent="0.2">
      <c r="B103" s="428"/>
      <c r="C103" s="423"/>
      <c r="D103" s="423"/>
      <c r="E103" s="423"/>
      <c r="F103" s="423"/>
      <c r="G103" s="423"/>
      <c r="H103" s="423"/>
      <c r="I103" s="423"/>
      <c r="J103" s="429"/>
      <c r="K103" s="437"/>
      <c r="L103" s="437"/>
    </row>
    <row r="104" spans="2:12" ht="12" hidden="1" customHeight="1" x14ac:dyDescent="0.2">
      <c r="B104" s="430"/>
      <c r="C104" s="423"/>
      <c r="D104" s="423"/>
      <c r="E104" s="423"/>
      <c r="F104" s="423"/>
      <c r="G104" s="423"/>
      <c r="H104" s="423"/>
      <c r="I104" s="423"/>
      <c r="J104" s="431"/>
      <c r="K104" s="437"/>
      <c r="L104" s="437"/>
    </row>
    <row r="105" spans="2:12" ht="12" hidden="1" customHeight="1" x14ac:dyDescent="0.2">
      <c r="B105" s="430"/>
      <c r="C105" s="423"/>
      <c r="D105" s="423"/>
      <c r="E105" s="423"/>
      <c r="F105" s="423"/>
      <c r="G105" s="423"/>
      <c r="H105" s="423"/>
      <c r="I105" s="423"/>
      <c r="J105" s="431"/>
      <c r="K105" s="437"/>
      <c r="L105" s="437"/>
    </row>
    <row r="106" spans="2:12" ht="12" hidden="1" customHeight="1" x14ac:dyDescent="0.2">
      <c r="B106" s="430"/>
      <c r="C106" s="423"/>
      <c r="D106" s="423"/>
      <c r="E106" s="423"/>
      <c r="F106" s="423"/>
      <c r="G106" s="423"/>
      <c r="H106" s="423"/>
      <c r="I106" s="423"/>
      <c r="J106" s="431"/>
      <c r="K106" s="437"/>
      <c r="L106" s="437"/>
    </row>
    <row r="107" spans="2:12" ht="12" hidden="1" customHeight="1" x14ac:dyDescent="0.2">
      <c r="B107" s="430"/>
      <c r="C107" s="423"/>
      <c r="D107" s="423"/>
      <c r="E107" s="423"/>
      <c r="F107" s="423"/>
      <c r="G107" s="423"/>
      <c r="H107" s="423"/>
      <c r="I107" s="423"/>
      <c r="J107" s="431"/>
      <c r="K107" s="437"/>
      <c r="L107" s="437"/>
    </row>
    <row r="108" spans="2:12" ht="12" hidden="1" customHeight="1" x14ac:dyDescent="0.2">
      <c r="B108" s="430"/>
      <c r="C108" s="423"/>
      <c r="D108" s="423"/>
      <c r="E108" s="423"/>
      <c r="F108" s="423"/>
      <c r="G108" s="423"/>
      <c r="H108" s="423"/>
      <c r="I108" s="423"/>
      <c r="J108" s="431"/>
      <c r="K108" s="437"/>
      <c r="L108" s="437"/>
    </row>
    <row r="109" spans="2:12" ht="12" hidden="1" customHeight="1" x14ac:dyDescent="0.2">
      <c r="B109" s="430"/>
      <c r="C109" s="423"/>
      <c r="D109" s="423"/>
      <c r="E109" s="423"/>
      <c r="F109" s="423"/>
      <c r="G109" s="423"/>
      <c r="H109" s="423"/>
      <c r="I109" s="423"/>
      <c r="J109" s="431"/>
      <c r="K109" s="437"/>
      <c r="L109" s="437"/>
    </row>
    <row r="110" spans="2:12" ht="12" hidden="1" customHeight="1" x14ac:dyDescent="0.2">
      <c r="B110" s="430"/>
      <c r="C110" s="423"/>
      <c r="D110" s="423"/>
      <c r="E110" s="423"/>
      <c r="F110" s="423"/>
      <c r="G110" s="423"/>
      <c r="H110" s="423"/>
      <c r="I110" s="423"/>
      <c r="J110" s="433"/>
      <c r="K110" s="437"/>
      <c r="L110" s="437"/>
    </row>
    <row r="111" spans="2:12" ht="15" hidden="1" customHeight="1" x14ac:dyDescent="0.2">
      <c r="B111" s="479"/>
      <c r="C111" s="480"/>
      <c r="D111" s="480"/>
      <c r="E111" s="480"/>
      <c r="F111" s="480"/>
      <c r="G111" s="480"/>
      <c r="H111" s="480"/>
      <c r="I111" s="480"/>
      <c r="J111" s="480"/>
      <c r="K111" s="437"/>
      <c r="L111" s="437"/>
    </row>
    <row r="112" spans="2:12" ht="12" hidden="1" customHeight="1" x14ac:dyDescent="0.2">
      <c r="B112" s="428"/>
      <c r="C112" s="423"/>
      <c r="D112" s="423"/>
      <c r="E112" s="423"/>
      <c r="F112" s="423"/>
      <c r="G112" s="423"/>
      <c r="H112" s="423"/>
      <c r="I112" s="423"/>
      <c r="J112" s="431"/>
    </row>
    <row r="113" spans="2:10" ht="12" hidden="1" customHeight="1" x14ac:dyDescent="0.2">
      <c r="B113" s="430"/>
      <c r="C113" s="423"/>
      <c r="D113" s="423"/>
      <c r="E113" s="423"/>
      <c r="F113" s="423"/>
      <c r="G113" s="423"/>
      <c r="H113" s="423"/>
      <c r="I113" s="423"/>
      <c r="J113" s="431"/>
    </row>
    <row r="114" spans="2:10" ht="12" hidden="1" customHeight="1" x14ac:dyDescent="0.2">
      <c r="B114" s="430"/>
      <c r="C114" s="423"/>
      <c r="D114" s="423"/>
      <c r="E114" s="423"/>
      <c r="F114" s="423"/>
      <c r="G114" s="423"/>
      <c r="H114" s="423"/>
      <c r="I114" s="423"/>
      <c r="J114" s="431"/>
    </row>
    <row r="115" spans="2:10" ht="12" hidden="1" customHeight="1" x14ac:dyDescent="0.2">
      <c r="B115" s="430"/>
      <c r="C115" s="423"/>
      <c r="D115" s="423"/>
      <c r="E115" s="423"/>
      <c r="F115" s="423"/>
      <c r="G115" s="423"/>
      <c r="H115" s="423"/>
      <c r="I115" s="423"/>
      <c r="J115" s="431"/>
    </row>
    <row r="116" spans="2:10" ht="12" hidden="1" customHeight="1" x14ac:dyDescent="0.2">
      <c r="B116" s="430"/>
      <c r="C116" s="423"/>
      <c r="D116" s="453"/>
      <c r="E116" s="423"/>
      <c r="F116" s="423"/>
      <c r="G116" s="423"/>
      <c r="H116" s="423"/>
      <c r="I116" s="423"/>
      <c r="J116" s="431"/>
    </row>
    <row r="117" spans="2:10" ht="14.25" hidden="1" customHeight="1" x14ac:dyDescent="0.2">
      <c r="B117" s="479"/>
      <c r="C117" s="480"/>
      <c r="D117" s="480"/>
      <c r="E117" s="480"/>
      <c r="F117" s="480"/>
      <c r="G117" s="480"/>
      <c r="H117" s="480"/>
      <c r="I117" s="480"/>
      <c r="J117" s="480"/>
    </row>
    <row r="118" spans="2:10" ht="12" hidden="1" customHeight="1" x14ac:dyDescent="0.2">
      <c r="B118" s="428"/>
      <c r="C118" s="423"/>
      <c r="D118" s="423"/>
      <c r="E118" s="423"/>
      <c r="F118" s="423"/>
      <c r="G118" s="423"/>
      <c r="H118" s="423"/>
      <c r="I118" s="423"/>
      <c r="J118" s="431"/>
    </row>
    <row r="119" spans="2:10" ht="12" hidden="1" customHeight="1" x14ac:dyDescent="0.2">
      <c r="B119" s="430"/>
      <c r="C119" s="423"/>
      <c r="D119" s="423"/>
      <c r="E119" s="423"/>
      <c r="F119" s="423"/>
      <c r="G119" s="423"/>
      <c r="H119" s="423"/>
      <c r="I119" s="423"/>
      <c r="J119" s="431"/>
    </row>
    <row r="120" spans="2:10" ht="12" hidden="1" customHeight="1" x14ac:dyDescent="0.2">
      <c r="B120" s="430"/>
      <c r="C120" s="423"/>
      <c r="D120" s="423"/>
      <c r="E120" s="423"/>
      <c r="F120" s="423"/>
      <c r="G120" s="423"/>
      <c r="H120" s="423"/>
      <c r="I120" s="423"/>
      <c r="J120" s="431"/>
    </row>
    <row r="121" spans="2:10" ht="12" hidden="1" customHeight="1" x14ac:dyDescent="0.2">
      <c r="B121" s="430"/>
      <c r="C121" s="423"/>
      <c r="D121" s="423"/>
      <c r="E121" s="423"/>
      <c r="F121" s="423"/>
      <c r="G121" s="423"/>
      <c r="H121" s="423"/>
      <c r="I121" s="423"/>
      <c r="J121" s="431"/>
    </row>
    <row r="122" spans="2:10" ht="12" hidden="1" customHeight="1" x14ac:dyDescent="0.2">
      <c r="B122" s="430"/>
      <c r="C122" s="423"/>
      <c r="D122" s="423"/>
      <c r="E122" s="423"/>
      <c r="F122" s="423"/>
      <c r="G122" s="423"/>
      <c r="H122" s="423"/>
      <c r="I122" s="423"/>
      <c r="J122" s="431"/>
    </row>
    <row r="123" spans="2:10" ht="16.5" hidden="1" customHeight="1" x14ac:dyDescent="0.2">
      <c r="B123" s="479"/>
      <c r="C123" s="480"/>
      <c r="D123" s="480"/>
      <c r="E123" s="480"/>
      <c r="F123" s="480"/>
      <c r="G123" s="480"/>
      <c r="H123" s="480"/>
      <c r="I123" s="480"/>
      <c r="J123" s="480"/>
    </row>
    <row r="124" spans="2:10" ht="12" hidden="1" customHeight="1" x14ac:dyDescent="0.2">
      <c r="B124" s="428"/>
      <c r="C124" s="423"/>
      <c r="D124" s="423"/>
      <c r="E124" s="423"/>
      <c r="F124" s="423"/>
      <c r="G124" s="423"/>
      <c r="H124" s="423"/>
      <c r="I124" s="423"/>
      <c r="J124" s="431"/>
    </row>
    <row r="125" spans="2:10" ht="12" hidden="1" customHeight="1" x14ac:dyDescent="0.2">
      <c r="B125" s="430"/>
      <c r="C125" s="423"/>
      <c r="D125" s="423"/>
      <c r="E125" s="423"/>
      <c r="F125" s="423"/>
      <c r="G125" s="423"/>
      <c r="H125" s="423"/>
      <c r="I125" s="423"/>
      <c r="J125" s="431"/>
    </row>
    <row r="126" spans="2:10" ht="12" hidden="1" customHeight="1" x14ac:dyDescent="0.2">
      <c r="B126" s="430"/>
      <c r="C126" s="423"/>
      <c r="D126" s="423"/>
      <c r="E126" s="423"/>
      <c r="F126" s="423"/>
      <c r="G126" s="423"/>
      <c r="H126" s="423"/>
      <c r="I126" s="423"/>
      <c r="J126" s="431"/>
    </row>
    <row r="127" spans="2:10" ht="12" hidden="1" customHeight="1" x14ac:dyDescent="0.2">
      <c r="B127" s="430"/>
      <c r="C127" s="423"/>
      <c r="D127" s="423"/>
      <c r="E127" s="423"/>
      <c r="F127" s="423"/>
      <c r="G127" s="423"/>
      <c r="H127" s="423"/>
      <c r="I127" s="423"/>
      <c r="J127" s="431"/>
    </row>
    <row r="128" spans="2:10" ht="12" hidden="1" customHeight="1" x14ac:dyDescent="0.2">
      <c r="B128" s="430"/>
      <c r="C128" s="423"/>
      <c r="D128" s="423"/>
      <c r="E128" s="423"/>
      <c r="F128" s="423"/>
      <c r="G128" s="423"/>
      <c r="H128" s="423"/>
      <c r="I128" s="423"/>
      <c r="J128" s="431"/>
    </row>
    <row r="129" spans="2:10" ht="12" hidden="1" customHeight="1" x14ac:dyDescent="0.2">
      <c r="B129" s="430"/>
      <c r="C129" s="423"/>
      <c r="D129" s="423"/>
      <c r="E129" s="423"/>
      <c r="F129" s="423"/>
      <c r="G129" s="423"/>
      <c r="H129" s="423"/>
      <c r="I129" s="423"/>
      <c r="J129" s="431"/>
    </row>
    <row r="130" spans="2:10" ht="12" hidden="1" customHeight="1" x14ac:dyDescent="0.2">
      <c r="B130" s="430"/>
      <c r="C130" s="423"/>
      <c r="D130" s="423"/>
      <c r="E130" s="423"/>
      <c r="F130" s="423"/>
      <c r="G130" s="423"/>
      <c r="H130" s="423"/>
      <c r="I130" s="423"/>
      <c r="J130" s="431"/>
    </row>
    <row r="131" spans="2:10" ht="14.25" hidden="1" customHeight="1" x14ac:dyDescent="0.2">
      <c r="B131" s="479"/>
      <c r="C131" s="480"/>
      <c r="D131" s="480"/>
      <c r="E131" s="480"/>
      <c r="F131" s="480"/>
      <c r="G131" s="480"/>
      <c r="H131" s="480"/>
      <c r="I131" s="480"/>
      <c r="J131" s="480"/>
    </row>
    <row r="132" spans="2:10" ht="12" hidden="1" customHeight="1" x14ac:dyDescent="0.2">
      <c r="B132" s="428"/>
      <c r="C132" s="423"/>
      <c r="D132" s="423"/>
      <c r="E132" s="423"/>
      <c r="F132" s="423"/>
      <c r="G132" s="423"/>
      <c r="H132" s="423"/>
      <c r="I132" s="423"/>
      <c r="J132" s="431"/>
    </row>
    <row r="133" spans="2:10" ht="12" hidden="1" customHeight="1" x14ac:dyDescent="0.2">
      <c r="B133" s="430"/>
      <c r="C133" s="423"/>
      <c r="D133" s="423"/>
      <c r="E133" s="423"/>
      <c r="F133" s="423"/>
      <c r="G133" s="423"/>
      <c r="H133" s="423"/>
      <c r="I133" s="423"/>
      <c r="J133" s="431"/>
    </row>
    <row r="134" spans="2:10" ht="12" hidden="1" customHeight="1" x14ac:dyDescent="0.2">
      <c r="B134" s="430"/>
      <c r="C134" s="423"/>
      <c r="D134" s="423"/>
      <c r="E134" s="423"/>
      <c r="F134" s="423"/>
      <c r="G134" s="423"/>
      <c r="H134" s="423"/>
      <c r="I134" s="423"/>
      <c r="J134" s="431"/>
    </row>
    <row r="135" spans="2:10" ht="12" hidden="1" customHeight="1" x14ac:dyDescent="0.2">
      <c r="B135" s="430"/>
      <c r="C135" s="423"/>
      <c r="D135" s="423"/>
      <c r="E135" s="423"/>
      <c r="F135" s="423"/>
      <c r="G135" s="423"/>
      <c r="H135" s="423"/>
      <c r="I135" s="423"/>
      <c r="J135" s="431"/>
    </row>
    <row r="136" spans="2:10" ht="12" hidden="1" customHeight="1" x14ac:dyDescent="0.2">
      <c r="B136" s="430"/>
      <c r="C136" s="423"/>
      <c r="D136" s="423"/>
      <c r="E136" s="423"/>
      <c r="F136" s="423"/>
      <c r="G136" s="423"/>
      <c r="H136" s="423"/>
      <c r="I136" s="423"/>
      <c r="J136" s="431"/>
    </row>
    <row r="137" spans="2:10" ht="12" hidden="1" customHeight="1" x14ac:dyDescent="0.2">
      <c r="B137" s="430"/>
      <c r="C137" s="423"/>
      <c r="D137" s="423"/>
      <c r="E137" s="423"/>
      <c r="F137" s="423"/>
      <c r="G137" s="423"/>
      <c r="H137" s="423"/>
      <c r="I137" s="423"/>
      <c r="J137" s="431"/>
    </row>
    <row r="138" spans="2:10" ht="12" hidden="1" customHeight="1" x14ac:dyDescent="0.2">
      <c r="B138" s="430"/>
      <c r="C138" s="423"/>
      <c r="D138" s="423"/>
      <c r="E138" s="423"/>
      <c r="F138" s="423"/>
      <c r="G138" s="423"/>
      <c r="H138" s="423"/>
      <c r="I138" s="423"/>
      <c r="J138" s="431"/>
    </row>
    <row r="139" spans="2:10" ht="12" hidden="1" customHeight="1" x14ac:dyDescent="0.2">
      <c r="B139" s="430"/>
      <c r="C139" s="423"/>
      <c r="D139" s="423"/>
      <c r="E139" s="423"/>
      <c r="F139" s="423"/>
      <c r="G139" s="423"/>
      <c r="H139" s="423"/>
      <c r="I139" s="423"/>
      <c r="J139" s="431"/>
    </row>
    <row r="140" spans="2:10" ht="12" hidden="1" customHeight="1" x14ac:dyDescent="0.2">
      <c r="B140" s="430"/>
      <c r="C140" s="423"/>
      <c r="D140" s="423"/>
      <c r="E140" s="423"/>
      <c r="F140" s="423"/>
      <c r="G140" s="423"/>
      <c r="H140" s="423"/>
      <c r="I140" s="423"/>
      <c r="J140" s="431"/>
    </row>
    <row r="141" spans="2:10" ht="14.25" hidden="1" customHeight="1" x14ac:dyDescent="0.2">
      <c r="B141" s="479"/>
      <c r="C141" s="480"/>
      <c r="D141" s="480"/>
      <c r="E141" s="480"/>
      <c r="F141" s="480"/>
      <c r="G141" s="480"/>
      <c r="H141" s="480"/>
      <c r="I141" s="480"/>
      <c r="J141" s="480"/>
    </row>
    <row r="142" spans="2:10" ht="18" customHeight="1" x14ac:dyDescent="0.2">
      <c r="B142" s="516" t="s">
        <v>115</v>
      </c>
      <c r="C142" s="516">
        <f>SUM(C59,C52, C44, C36,C26)</f>
        <v>9</v>
      </c>
      <c r="D142" s="516">
        <f>SUM(D59,D52, D44, D36,D26)</f>
        <v>64621</v>
      </c>
      <c r="E142" s="516">
        <f t="shared" ref="E142:J142" si="5">SUM(E59,E52,E44,E36,E26)</f>
        <v>6757</v>
      </c>
      <c r="F142" s="516">
        <f t="shared" si="5"/>
        <v>48245</v>
      </c>
      <c r="G142" s="516">
        <f t="shared" si="5"/>
        <v>59070</v>
      </c>
      <c r="H142" s="516">
        <f t="shared" si="5"/>
        <v>13</v>
      </c>
      <c r="I142" s="516">
        <f t="shared" si="5"/>
        <v>9</v>
      </c>
      <c r="J142" s="516">
        <f t="shared" si="5"/>
        <v>9</v>
      </c>
    </row>
    <row r="143" spans="2:10" x14ac:dyDescent="0.2">
      <c r="B143" s="440"/>
    </row>
    <row r="144" spans="2:10" x14ac:dyDescent="0.2">
      <c r="B144" s="440"/>
    </row>
    <row r="145" spans="2:5" x14ac:dyDescent="0.2">
      <c r="B145" s="440"/>
    </row>
    <row r="146" spans="2:5" x14ac:dyDescent="0.2">
      <c r="B146" s="440"/>
    </row>
    <row r="147" spans="2:5" x14ac:dyDescent="0.2">
      <c r="B147" s="440"/>
    </row>
    <row r="148" spans="2:5" x14ac:dyDescent="0.2">
      <c r="B148" s="440"/>
    </row>
    <row r="149" spans="2:5" x14ac:dyDescent="0.2">
      <c r="B149" s="440"/>
      <c r="D149" s="423"/>
      <c r="E149" s="482"/>
    </row>
    <row r="150" spans="2:5" x14ac:dyDescent="0.2">
      <c r="B150" s="440"/>
      <c r="D150" s="423"/>
      <c r="E150" s="483"/>
    </row>
    <row r="151" spans="2:5" x14ac:dyDescent="0.2">
      <c r="B151" s="440"/>
      <c r="D151" s="423"/>
      <c r="E151" s="483"/>
    </row>
    <row r="152" spans="2:5" x14ac:dyDescent="0.2">
      <c r="B152" s="440"/>
      <c r="D152" s="423"/>
      <c r="E152" s="483"/>
    </row>
    <row r="153" spans="2:5" x14ac:dyDescent="0.2">
      <c r="B153" s="440"/>
      <c r="D153" s="423"/>
      <c r="E153" s="483"/>
    </row>
    <row r="154" spans="2:5" x14ac:dyDescent="0.2">
      <c r="B154" s="440"/>
      <c r="D154" s="423"/>
      <c r="E154" s="483"/>
    </row>
    <row r="155" spans="2:5" x14ac:dyDescent="0.2">
      <c r="B155" s="440"/>
      <c r="D155" s="423"/>
      <c r="E155" s="483"/>
    </row>
    <row r="156" spans="2:5" x14ac:dyDescent="0.2">
      <c r="B156" s="440"/>
      <c r="D156" s="423"/>
      <c r="E156" s="483"/>
    </row>
    <row r="157" spans="2:5" x14ac:dyDescent="0.2">
      <c r="B157" s="440"/>
      <c r="D157" s="423"/>
      <c r="E157" s="423"/>
    </row>
    <row r="158" spans="2:5" x14ac:dyDescent="0.2">
      <c r="B158" s="440"/>
    </row>
    <row r="159" spans="2:5" x14ac:dyDescent="0.2">
      <c r="B159" s="440"/>
    </row>
    <row r="160" spans="2:5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  <row r="173" spans="2:2" x14ac:dyDescent="0.2">
      <c r="B173" s="440"/>
    </row>
    <row r="174" spans="2:2" x14ac:dyDescent="0.2">
      <c r="B174" s="440"/>
    </row>
    <row r="175" spans="2:2" x14ac:dyDescent="0.2">
      <c r="B175" s="440"/>
    </row>
    <row r="176" spans="2:2" x14ac:dyDescent="0.2">
      <c r="B176" s="440"/>
    </row>
    <row r="177" spans="2:2" x14ac:dyDescent="0.2">
      <c r="B177" s="440"/>
    </row>
    <row r="178" spans="2:2" x14ac:dyDescent="0.2">
      <c r="B178" s="440"/>
    </row>
    <row r="179" spans="2:2" x14ac:dyDescent="0.2">
      <c r="B179" s="440"/>
    </row>
    <row r="180" spans="2:2" x14ac:dyDescent="0.2">
      <c r="B180" s="440"/>
    </row>
    <row r="181" spans="2:2" x14ac:dyDescent="0.2">
      <c r="B181" s="440"/>
    </row>
    <row r="182" spans="2:2" x14ac:dyDescent="0.2">
      <c r="B182" s="440"/>
    </row>
    <row r="183" spans="2:2" x14ac:dyDescent="0.2">
      <c r="B183" s="440"/>
    </row>
    <row r="184" spans="2:2" x14ac:dyDescent="0.2">
      <c r="B184" s="440"/>
    </row>
    <row r="185" spans="2:2" x14ac:dyDescent="0.2">
      <c r="B185" s="440"/>
    </row>
    <row r="186" spans="2:2" x14ac:dyDescent="0.2">
      <c r="B186" s="440"/>
    </row>
    <row r="187" spans="2:2" x14ac:dyDescent="0.2">
      <c r="B187" s="440"/>
    </row>
    <row r="188" spans="2:2" x14ac:dyDescent="0.2">
      <c r="B188" s="440"/>
    </row>
    <row r="189" spans="2:2" x14ac:dyDescent="0.2">
      <c r="B189" s="440"/>
    </row>
    <row r="190" spans="2:2" x14ac:dyDescent="0.2">
      <c r="B190" s="440"/>
    </row>
    <row r="191" spans="2:2" x14ac:dyDescent="0.2">
      <c r="B191" s="440"/>
    </row>
    <row r="192" spans="2:2" x14ac:dyDescent="0.2">
      <c r="B192" s="440"/>
    </row>
    <row r="193" spans="2:2" x14ac:dyDescent="0.2">
      <c r="B193" s="440"/>
    </row>
    <row r="194" spans="2:2" x14ac:dyDescent="0.2">
      <c r="B194" s="440"/>
    </row>
    <row r="195" spans="2:2" x14ac:dyDescent="0.2">
      <c r="B195" s="440"/>
    </row>
    <row r="196" spans="2:2" x14ac:dyDescent="0.2">
      <c r="B196" s="440"/>
    </row>
    <row r="197" spans="2:2" x14ac:dyDescent="0.2">
      <c r="B197" s="440"/>
    </row>
    <row r="198" spans="2:2" x14ac:dyDescent="0.2">
      <c r="B198" s="440"/>
    </row>
    <row r="199" spans="2:2" x14ac:dyDescent="0.2">
      <c r="B199" s="440"/>
    </row>
    <row r="200" spans="2:2" x14ac:dyDescent="0.2">
      <c r="B200" s="440"/>
    </row>
    <row r="201" spans="2:2" x14ac:dyDescent="0.2">
      <c r="B201" s="440"/>
    </row>
    <row r="202" spans="2:2" x14ac:dyDescent="0.2">
      <c r="B202" s="440"/>
    </row>
    <row r="203" spans="2:2" x14ac:dyDescent="0.2">
      <c r="B203" s="440"/>
    </row>
    <row r="204" spans="2:2" x14ac:dyDescent="0.2">
      <c r="B204" s="440"/>
    </row>
  </sheetData>
  <mergeCells count="16">
    <mergeCell ref="C2:I3"/>
    <mergeCell ref="I7:J8"/>
    <mergeCell ref="B94:J94"/>
    <mergeCell ref="I95:J95"/>
    <mergeCell ref="B96:J96"/>
    <mergeCell ref="I99:J99"/>
    <mergeCell ref="I4:J4"/>
    <mergeCell ref="B5:J5"/>
    <mergeCell ref="B7:B9"/>
    <mergeCell ref="C7:C9"/>
    <mergeCell ref="D7:D9"/>
    <mergeCell ref="E7:E9"/>
    <mergeCell ref="F7:F9"/>
    <mergeCell ref="G7:G9"/>
    <mergeCell ref="H7:H9"/>
    <mergeCell ref="I98:J98"/>
  </mergeCells>
  <pageMargins left="0.86" right="0.75" top="1" bottom="1" header="0" footer="0"/>
  <pageSetup paperSize="9" scale="84" fitToHeight="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W204"/>
  <sheetViews>
    <sheetView topLeftCell="A38" zoomScaleNormal="100" workbookViewId="0">
      <selection activeCell="C56" sqref="C56:J56"/>
    </sheetView>
  </sheetViews>
  <sheetFormatPr defaultColWidth="9.140625" defaultRowHeight="12" x14ac:dyDescent="0.2"/>
  <cols>
    <col min="1" max="1" width="9.140625" style="161"/>
    <col min="2" max="2" width="16.570312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0.85546875" style="161" customWidth="1"/>
    <col min="8" max="8" width="11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3" s="175" customFormat="1" ht="15.75" x14ac:dyDescent="0.25">
      <c r="B2" s="961" t="s">
        <v>174</v>
      </c>
      <c r="C2" s="961"/>
      <c r="D2" s="961"/>
      <c r="E2" s="961"/>
      <c r="F2" s="961"/>
      <c r="G2" s="961"/>
      <c r="H2" s="961"/>
      <c r="I2" s="961"/>
      <c r="J2" s="961"/>
    </row>
    <row r="3" spans="2:23" s="175" customFormat="1" ht="15.75" x14ac:dyDescent="0.25">
      <c r="B3" s="173"/>
      <c r="C3" s="173"/>
      <c r="D3" s="449"/>
      <c r="E3" s="449"/>
      <c r="F3" s="449"/>
      <c r="G3" s="449"/>
      <c r="H3" s="449"/>
      <c r="I3" s="449"/>
      <c r="J3" s="173"/>
    </row>
    <row r="4" spans="2:23" s="175" customFormat="1" ht="15.75" x14ac:dyDescent="0.25">
      <c r="B4" s="174"/>
      <c r="I4" s="982" t="s">
        <v>283</v>
      </c>
      <c r="J4" s="982"/>
    </row>
    <row r="5" spans="2:23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3" x14ac:dyDescent="0.2">
      <c r="B6" s="423"/>
    </row>
    <row r="7" spans="2:23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3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3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3" s="425" customFormat="1" ht="12.7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  <c r="W10" s="573"/>
    </row>
    <row r="11" spans="2:23" ht="12.75" hidden="1" x14ac:dyDescent="0.2">
      <c r="B11" s="428" t="s">
        <v>151</v>
      </c>
      <c r="C11" s="423"/>
      <c r="D11" s="423"/>
      <c r="E11" s="423"/>
      <c r="F11" s="423"/>
      <c r="G11" s="423"/>
      <c r="H11" s="423"/>
      <c r="I11" s="423"/>
      <c r="J11" s="431"/>
      <c r="W11" s="573"/>
    </row>
    <row r="12" spans="2:23" ht="12.75" hidden="1" x14ac:dyDescent="0.2">
      <c r="B12" s="430" t="s">
        <v>88</v>
      </c>
      <c r="C12" s="423"/>
      <c r="D12" s="423"/>
      <c r="E12" s="423"/>
      <c r="F12" s="423"/>
      <c r="G12" s="423"/>
      <c r="H12" s="423"/>
      <c r="I12" s="423"/>
      <c r="J12" s="431"/>
      <c r="U12" s="475"/>
      <c r="W12" s="573"/>
    </row>
    <row r="13" spans="2:23" ht="12.75" hidden="1" x14ac:dyDescent="0.2">
      <c r="B13" s="430" t="s">
        <v>179</v>
      </c>
      <c r="C13" s="423"/>
      <c r="D13" s="423"/>
      <c r="E13" s="423"/>
      <c r="F13" s="423"/>
      <c r="G13" s="423"/>
      <c r="H13" s="423"/>
      <c r="I13" s="423"/>
      <c r="J13" s="431"/>
      <c r="U13" s="476"/>
      <c r="W13" s="573"/>
    </row>
    <row r="14" spans="2:23" ht="12.75" hidden="1" x14ac:dyDescent="0.2">
      <c r="B14" s="430" t="s">
        <v>89</v>
      </c>
      <c r="C14" s="423"/>
      <c r="D14" s="423"/>
      <c r="E14" s="423"/>
      <c r="F14" s="423"/>
      <c r="G14" s="423"/>
      <c r="H14" s="423"/>
      <c r="I14" s="423"/>
      <c r="J14" s="431"/>
      <c r="U14" s="477"/>
      <c r="W14" s="573"/>
    </row>
    <row r="15" spans="2:23" ht="12.75" hidden="1" x14ac:dyDescent="0.2">
      <c r="B15" s="430" t="s">
        <v>180</v>
      </c>
      <c r="C15" s="423"/>
      <c r="D15" s="423"/>
      <c r="E15" s="423"/>
      <c r="F15" s="423"/>
      <c r="G15" s="423"/>
      <c r="H15" s="423"/>
      <c r="I15" s="423"/>
      <c r="J15" s="431"/>
      <c r="W15" s="573"/>
    </row>
    <row r="16" spans="2:23" ht="12.75" hidden="1" x14ac:dyDescent="0.2">
      <c r="B16" s="430" t="s">
        <v>181</v>
      </c>
      <c r="C16" s="423"/>
      <c r="D16" s="423"/>
      <c r="E16" s="423"/>
      <c r="F16" s="423"/>
      <c r="G16" s="423"/>
      <c r="H16" s="423"/>
      <c r="I16" s="423"/>
      <c r="J16" s="431"/>
      <c r="W16" s="573"/>
    </row>
    <row r="17" spans="2:23" ht="12.75" x14ac:dyDescent="0.2">
      <c r="B17" s="428" t="s">
        <v>152</v>
      </c>
      <c r="C17" s="423"/>
      <c r="D17" s="423"/>
      <c r="E17" s="423"/>
      <c r="F17" s="423"/>
      <c r="G17" s="423"/>
      <c r="H17" s="423"/>
      <c r="I17" s="423"/>
      <c r="J17" s="431"/>
      <c r="U17" s="376"/>
      <c r="W17" s="573"/>
    </row>
    <row r="18" spans="2:23" x14ac:dyDescent="0.2">
      <c r="B18" s="430" t="s">
        <v>91</v>
      </c>
      <c r="C18" s="423">
        <v>0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31">
        <v>0</v>
      </c>
    </row>
    <row r="19" spans="2:23" x14ac:dyDescent="0.2">
      <c r="B19" s="430" t="s">
        <v>182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23" x14ac:dyDescent="0.2">
      <c r="B20" s="430" t="s">
        <v>183</v>
      </c>
      <c r="C20" s="423">
        <v>0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31">
        <v>0</v>
      </c>
    </row>
    <row r="21" spans="2:23" x14ac:dyDescent="0.2">
      <c r="B21" s="430" t="s">
        <v>92</v>
      </c>
      <c r="C21" s="423">
        <v>4</v>
      </c>
      <c r="D21" s="423">
        <v>31778</v>
      </c>
      <c r="E21" s="423">
        <v>3230</v>
      </c>
      <c r="F21" s="423">
        <v>33415</v>
      </c>
      <c r="G21" s="423">
        <v>35307</v>
      </c>
      <c r="H21" s="423">
        <v>8</v>
      </c>
      <c r="I21" s="423">
        <v>4</v>
      </c>
      <c r="J21" s="431">
        <v>4</v>
      </c>
    </row>
    <row r="22" spans="2:23" x14ac:dyDescent="0.2">
      <c r="B22" s="430" t="s">
        <v>184</v>
      </c>
      <c r="C22" s="423">
        <v>0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31">
        <v>0</v>
      </c>
    </row>
    <row r="23" spans="2:23" x14ac:dyDescent="0.2">
      <c r="B23" s="430" t="s">
        <v>185</v>
      </c>
      <c r="C23" s="423">
        <v>0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31">
        <v>0</v>
      </c>
    </row>
    <row r="24" spans="2:23" x14ac:dyDescent="0.2">
      <c r="B24" s="430" t="s">
        <v>186</v>
      </c>
      <c r="C24" s="423">
        <v>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31">
        <v>0</v>
      </c>
    </row>
    <row r="25" spans="2:23" x14ac:dyDescent="0.2">
      <c r="B25" s="430" t="s">
        <v>187</v>
      </c>
      <c r="C25" s="423">
        <v>0</v>
      </c>
      <c r="D25" s="423">
        <v>0</v>
      </c>
      <c r="E25" s="423">
        <v>0</v>
      </c>
      <c r="F25" s="423">
        <v>0</v>
      </c>
      <c r="G25" s="423">
        <v>0</v>
      </c>
      <c r="H25" s="423">
        <v>0</v>
      </c>
      <c r="I25" s="423">
        <v>0</v>
      </c>
      <c r="J25" s="431">
        <v>0</v>
      </c>
    </row>
    <row r="26" spans="2:23" x14ac:dyDescent="0.2">
      <c r="B26" s="434" t="s">
        <v>22</v>
      </c>
      <c r="C26" s="474">
        <f>SUM(C18:C25)</f>
        <v>4</v>
      </c>
      <c r="D26" s="474">
        <f t="shared" ref="D26:J26" si="0">SUM(D18:D25)</f>
        <v>31778</v>
      </c>
      <c r="E26" s="474">
        <f t="shared" si="0"/>
        <v>3230</v>
      </c>
      <c r="F26" s="474">
        <f t="shared" si="0"/>
        <v>33415</v>
      </c>
      <c r="G26" s="474">
        <f t="shared" si="0"/>
        <v>35307</v>
      </c>
      <c r="H26" s="474">
        <f t="shared" si="0"/>
        <v>8</v>
      </c>
      <c r="I26" s="474">
        <f t="shared" si="0"/>
        <v>4</v>
      </c>
      <c r="J26" s="474">
        <f t="shared" si="0"/>
        <v>4</v>
      </c>
    </row>
    <row r="27" spans="2:23" x14ac:dyDescent="0.2">
      <c r="B27" s="461" t="s">
        <v>159</v>
      </c>
      <c r="C27" s="423"/>
      <c r="D27" s="423"/>
      <c r="E27" s="423"/>
      <c r="F27" s="423"/>
      <c r="G27" s="423"/>
      <c r="H27" s="423"/>
      <c r="I27" s="423"/>
      <c r="J27" s="431"/>
    </row>
    <row r="28" spans="2:23" x14ac:dyDescent="0.2">
      <c r="B28" s="430" t="s">
        <v>112</v>
      </c>
      <c r="C28" s="423">
        <v>0</v>
      </c>
      <c r="D28" s="423">
        <v>0</v>
      </c>
      <c r="E28" s="423">
        <v>0</v>
      </c>
      <c r="F28" s="423">
        <v>0</v>
      </c>
      <c r="G28" s="423">
        <v>0</v>
      </c>
      <c r="H28" s="423">
        <v>0</v>
      </c>
      <c r="I28" s="423">
        <v>0</v>
      </c>
      <c r="J28" s="431">
        <v>0</v>
      </c>
    </row>
    <row r="29" spans="2:23" x14ac:dyDescent="0.2">
      <c r="B29" s="430" t="s">
        <v>216</v>
      </c>
      <c r="C29" s="423">
        <v>0</v>
      </c>
      <c r="D29" s="423">
        <v>0</v>
      </c>
      <c r="E29" s="423">
        <v>0</v>
      </c>
      <c r="F29" s="423">
        <v>0</v>
      </c>
      <c r="G29" s="423">
        <v>0</v>
      </c>
      <c r="H29" s="423">
        <v>0</v>
      </c>
      <c r="I29" s="423">
        <v>0</v>
      </c>
      <c r="J29" s="431">
        <v>0</v>
      </c>
    </row>
    <row r="30" spans="2:23" x14ac:dyDescent="0.2">
      <c r="B30" s="430" t="s">
        <v>217</v>
      </c>
      <c r="C30" s="423">
        <v>0</v>
      </c>
      <c r="D30" s="423">
        <v>0</v>
      </c>
      <c r="E30" s="423">
        <v>0</v>
      </c>
      <c r="F30" s="423">
        <v>0</v>
      </c>
      <c r="G30" s="423">
        <v>0</v>
      </c>
      <c r="H30" s="423">
        <v>0</v>
      </c>
      <c r="I30" s="423">
        <v>0</v>
      </c>
      <c r="J30" s="431">
        <v>0</v>
      </c>
    </row>
    <row r="31" spans="2:23" x14ac:dyDescent="0.2">
      <c r="B31" s="430" t="s">
        <v>218</v>
      </c>
      <c r="C31" s="423">
        <v>0</v>
      </c>
      <c r="D31" s="423">
        <v>0</v>
      </c>
      <c r="E31" s="423">
        <v>0</v>
      </c>
      <c r="F31" s="423">
        <v>0</v>
      </c>
      <c r="G31" s="423">
        <v>0</v>
      </c>
      <c r="H31" s="423">
        <v>0</v>
      </c>
      <c r="I31" s="423">
        <v>0</v>
      </c>
      <c r="J31" s="431">
        <v>0</v>
      </c>
    </row>
    <row r="32" spans="2:23" x14ac:dyDescent="0.2">
      <c r="B32" s="430" t="s">
        <v>219</v>
      </c>
      <c r="C32" s="423">
        <v>0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31">
        <v>0</v>
      </c>
    </row>
    <row r="33" spans="2:10" x14ac:dyDescent="0.2">
      <c r="B33" s="430" t="s">
        <v>220</v>
      </c>
      <c r="C33" s="423">
        <v>0</v>
      </c>
      <c r="D33" s="423">
        <v>0</v>
      </c>
      <c r="E33" s="423">
        <v>0</v>
      </c>
      <c r="F33" s="423">
        <v>0</v>
      </c>
      <c r="G33" s="423">
        <v>0</v>
      </c>
      <c r="H33" s="423">
        <v>0</v>
      </c>
      <c r="I33" s="423">
        <v>0</v>
      </c>
      <c r="J33" s="431">
        <v>0</v>
      </c>
    </row>
    <row r="34" spans="2:10" x14ac:dyDescent="0.2">
      <c r="B34" s="430" t="s">
        <v>113</v>
      </c>
      <c r="C34" s="423">
        <v>1</v>
      </c>
      <c r="D34" s="423">
        <v>9863</v>
      </c>
      <c r="E34" s="423">
        <v>808</v>
      </c>
      <c r="F34" s="423">
        <v>1208</v>
      </c>
      <c r="G34" s="423">
        <v>5362</v>
      </c>
      <c r="H34" s="423">
        <v>1</v>
      </c>
      <c r="I34" s="423">
        <v>1</v>
      </c>
      <c r="J34" s="431">
        <v>1</v>
      </c>
    </row>
    <row r="35" spans="2:10" x14ac:dyDescent="0.2">
      <c r="B35" s="430" t="s">
        <v>221</v>
      </c>
      <c r="C35" s="423">
        <v>0</v>
      </c>
      <c r="D35" s="423">
        <v>0</v>
      </c>
      <c r="E35" s="423">
        <v>0</v>
      </c>
      <c r="F35" s="423">
        <v>0</v>
      </c>
      <c r="G35" s="423">
        <v>0</v>
      </c>
      <c r="H35" s="423">
        <v>0</v>
      </c>
      <c r="I35" s="423">
        <v>0</v>
      </c>
      <c r="J35" s="431">
        <v>0</v>
      </c>
    </row>
    <row r="36" spans="2:10" x14ac:dyDescent="0.2">
      <c r="B36" s="434" t="s">
        <v>22</v>
      </c>
      <c r="C36" s="434">
        <f>SUM(C28:C35)</f>
        <v>1</v>
      </c>
      <c r="D36" s="474">
        <f t="shared" ref="D36:J36" si="1">SUM(D28:D35)</f>
        <v>9863</v>
      </c>
      <c r="E36" s="434">
        <f t="shared" si="1"/>
        <v>808</v>
      </c>
      <c r="F36" s="434">
        <f t="shared" si="1"/>
        <v>1208</v>
      </c>
      <c r="G36" s="434">
        <f t="shared" si="1"/>
        <v>5362</v>
      </c>
      <c r="H36" s="434">
        <f t="shared" si="1"/>
        <v>1</v>
      </c>
      <c r="I36" s="434">
        <f t="shared" si="1"/>
        <v>1</v>
      </c>
      <c r="J36" s="474">
        <f t="shared" si="1"/>
        <v>1</v>
      </c>
    </row>
    <row r="37" spans="2:10" x14ac:dyDescent="0.2">
      <c r="B37" s="428" t="s">
        <v>154</v>
      </c>
      <c r="C37" s="443"/>
      <c r="D37" s="423"/>
      <c r="E37" s="423"/>
      <c r="F37" s="423"/>
      <c r="G37" s="423"/>
      <c r="H37" s="423"/>
      <c r="I37" s="423"/>
      <c r="J37" s="431"/>
    </row>
    <row r="38" spans="2:10" x14ac:dyDescent="0.2">
      <c r="B38" s="430" t="s">
        <v>194</v>
      </c>
      <c r="C38" s="443">
        <v>0</v>
      </c>
      <c r="D38" s="423">
        <v>0</v>
      </c>
      <c r="E38" s="423">
        <v>0</v>
      </c>
      <c r="F38" s="423">
        <v>0</v>
      </c>
      <c r="G38" s="423">
        <v>0</v>
      </c>
      <c r="H38" s="423">
        <v>0</v>
      </c>
      <c r="I38" s="423">
        <v>0</v>
      </c>
      <c r="J38" s="431">
        <v>0</v>
      </c>
    </row>
    <row r="39" spans="2:10" x14ac:dyDescent="0.2">
      <c r="B39" s="430" t="s">
        <v>195</v>
      </c>
      <c r="C39" s="443">
        <v>0</v>
      </c>
      <c r="D39" s="423">
        <v>0</v>
      </c>
      <c r="E39" s="423">
        <v>0</v>
      </c>
      <c r="F39" s="423">
        <v>0</v>
      </c>
      <c r="G39" s="423">
        <v>0</v>
      </c>
      <c r="H39" s="423">
        <v>0</v>
      </c>
      <c r="I39" s="423">
        <v>0</v>
      </c>
      <c r="J39" s="431">
        <v>0</v>
      </c>
    </row>
    <row r="40" spans="2:10" x14ac:dyDescent="0.2">
      <c r="B40" s="430" t="s">
        <v>102</v>
      </c>
      <c r="C40" s="443">
        <v>1</v>
      </c>
      <c r="D40" s="423">
        <v>10948</v>
      </c>
      <c r="E40" s="161">
        <v>853</v>
      </c>
      <c r="F40" s="423">
        <v>2489</v>
      </c>
      <c r="G40" s="423">
        <v>6973</v>
      </c>
      <c r="H40" s="423">
        <v>2</v>
      </c>
      <c r="I40" s="423">
        <v>1</v>
      </c>
      <c r="J40" s="431">
        <v>1</v>
      </c>
    </row>
    <row r="41" spans="2:10" x14ac:dyDescent="0.2">
      <c r="B41" s="430" t="s">
        <v>196</v>
      </c>
      <c r="C41" s="443">
        <v>0</v>
      </c>
      <c r="D41" s="423">
        <v>0</v>
      </c>
      <c r="E41" s="423">
        <v>0</v>
      </c>
      <c r="F41" s="423">
        <v>0</v>
      </c>
      <c r="G41" s="423">
        <v>0</v>
      </c>
      <c r="H41" s="423">
        <v>0</v>
      </c>
      <c r="I41" s="423">
        <v>0</v>
      </c>
      <c r="J41" s="431">
        <v>0</v>
      </c>
    </row>
    <row r="42" spans="2:10" x14ac:dyDescent="0.2">
      <c r="B42" s="430" t="s">
        <v>197</v>
      </c>
      <c r="C42" s="443">
        <v>0</v>
      </c>
      <c r="D42" s="423">
        <v>0</v>
      </c>
      <c r="E42" s="423">
        <v>0</v>
      </c>
      <c r="F42" s="423">
        <v>0</v>
      </c>
      <c r="G42" s="423">
        <v>0</v>
      </c>
      <c r="H42" s="423">
        <v>0</v>
      </c>
      <c r="I42" s="423">
        <v>0</v>
      </c>
      <c r="J42" s="431">
        <v>0</v>
      </c>
    </row>
    <row r="43" spans="2:10" x14ac:dyDescent="0.2">
      <c r="B43" s="430" t="s">
        <v>198</v>
      </c>
      <c r="C43" s="443">
        <v>0</v>
      </c>
      <c r="D43" s="423">
        <v>0</v>
      </c>
      <c r="E43" s="423">
        <v>0</v>
      </c>
      <c r="F43" s="423">
        <v>0</v>
      </c>
      <c r="G43" s="423">
        <v>0</v>
      </c>
      <c r="H43" s="423">
        <v>0</v>
      </c>
      <c r="I43" s="423">
        <v>0</v>
      </c>
      <c r="J43" s="431">
        <v>0</v>
      </c>
    </row>
    <row r="44" spans="2:10" x14ac:dyDescent="0.2">
      <c r="B44" s="434" t="s">
        <v>22</v>
      </c>
      <c r="C44" s="434">
        <f>SUM(C38:C43)</f>
        <v>1</v>
      </c>
      <c r="D44" s="434">
        <f t="shared" ref="D44:J44" si="2">SUM(D38:D43)</f>
        <v>10948</v>
      </c>
      <c r="E44" s="434">
        <f t="shared" si="2"/>
        <v>853</v>
      </c>
      <c r="F44" s="434">
        <f t="shared" si="2"/>
        <v>2489</v>
      </c>
      <c r="G44" s="434">
        <f t="shared" si="2"/>
        <v>6973</v>
      </c>
      <c r="H44" s="434">
        <f t="shared" si="2"/>
        <v>2</v>
      </c>
      <c r="I44" s="434">
        <f t="shared" si="2"/>
        <v>1</v>
      </c>
      <c r="J44" s="434">
        <f t="shared" si="2"/>
        <v>1</v>
      </c>
    </row>
    <row r="45" spans="2:10" x14ac:dyDescent="0.2">
      <c r="B45" s="428" t="s">
        <v>153</v>
      </c>
      <c r="C45" s="423"/>
      <c r="D45" s="423"/>
      <c r="E45" s="423"/>
      <c r="F45" s="423"/>
      <c r="G45" s="423"/>
      <c r="H45" s="423"/>
      <c r="I45" s="423"/>
      <c r="J45" s="431"/>
    </row>
    <row r="46" spans="2:10" x14ac:dyDescent="0.2">
      <c r="B46" s="430" t="s">
        <v>94</v>
      </c>
      <c r="C46" s="423">
        <v>1</v>
      </c>
      <c r="D46" s="423">
        <v>2205</v>
      </c>
      <c r="E46" s="423">
        <v>762</v>
      </c>
      <c r="F46" s="423">
        <v>2004</v>
      </c>
      <c r="G46" s="423">
        <v>2095</v>
      </c>
      <c r="H46" s="423">
        <v>1</v>
      </c>
      <c r="I46" s="423">
        <v>1</v>
      </c>
      <c r="J46" s="431">
        <v>1</v>
      </c>
    </row>
    <row r="47" spans="2:10" x14ac:dyDescent="0.2">
      <c r="B47" s="430" t="s">
        <v>188</v>
      </c>
      <c r="C47" s="423">
        <v>0</v>
      </c>
      <c r="D47" s="423">
        <v>0</v>
      </c>
      <c r="E47" s="423">
        <v>0</v>
      </c>
      <c r="F47" s="423">
        <v>0</v>
      </c>
      <c r="G47" s="423">
        <v>0</v>
      </c>
      <c r="H47" s="423">
        <v>0</v>
      </c>
      <c r="I47" s="423">
        <v>0</v>
      </c>
      <c r="J47" s="431">
        <v>0</v>
      </c>
    </row>
    <row r="48" spans="2:10" x14ac:dyDescent="0.2">
      <c r="B48" s="430" t="s">
        <v>189</v>
      </c>
      <c r="C48" s="423">
        <v>0</v>
      </c>
      <c r="D48" s="423">
        <v>0</v>
      </c>
      <c r="E48" s="423">
        <v>0</v>
      </c>
      <c r="F48" s="423">
        <v>0</v>
      </c>
      <c r="G48" s="423">
        <v>0</v>
      </c>
      <c r="H48" s="423">
        <v>0</v>
      </c>
      <c r="I48" s="423">
        <v>0</v>
      </c>
      <c r="J48" s="431">
        <v>0</v>
      </c>
    </row>
    <row r="49" spans="2:10" x14ac:dyDescent="0.2">
      <c r="B49" s="430" t="s">
        <v>95</v>
      </c>
      <c r="C49" s="423">
        <v>0</v>
      </c>
      <c r="D49" s="423">
        <v>0</v>
      </c>
      <c r="E49" s="423">
        <v>0</v>
      </c>
      <c r="F49" s="423">
        <v>0</v>
      </c>
      <c r="G49" s="423">
        <v>0</v>
      </c>
      <c r="H49" s="423">
        <v>0</v>
      </c>
      <c r="I49" s="423">
        <v>0</v>
      </c>
      <c r="J49" s="431">
        <v>0</v>
      </c>
    </row>
    <row r="50" spans="2:10" x14ac:dyDescent="0.2">
      <c r="B50" s="430" t="s">
        <v>96</v>
      </c>
      <c r="C50" s="423">
        <v>0</v>
      </c>
      <c r="D50" s="423">
        <v>0</v>
      </c>
      <c r="E50" s="423">
        <v>0</v>
      </c>
      <c r="F50" s="423">
        <v>0</v>
      </c>
      <c r="G50" s="423">
        <v>0</v>
      </c>
      <c r="H50" s="423">
        <v>0</v>
      </c>
      <c r="I50" s="423">
        <v>0</v>
      </c>
      <c r="J50" s="431">
        <v>0</v>
      </c>
    </row>
    <row r="51" spans="2:10" x14ac:dyDescent="0.2">
      <c r="B51" s="432" t="s">
        <v>190</v>
      </c>
      <c r="C51" s="423">
        <v>0</v>
      </c>
      <c r="D51" s="423">
        <v>0</v>
      </c>
      <c r="E51" s="423">
        <v>0</v>
      </c>
      <c r="F51" s="423">
        <v>0</v>
      </c>
      <c r="G51" s="423">
        <v>0</v>
      </c>
      <c r="H51" s="423">
        <v>0</v>
      </c>
      <c r="I51" s="423">
        <v>0</v>
      </c>
      <c r="J51" s="433">
        <v>0</v>
      </c>
    </row>
    <row r="52" spans="2:10" x14ac:dyDescent="0.2">
      <c r="B52" s="434" t="s">
        <v>22</v>
      </c>
      <c r="C52" s="478">
        <f>SUM(C46:C51)</f>
        <v>1</v>
      </c>
      <c r="D52" s="478">
        <f t="shared" ref="D52:J52" si="3">SUM(D46:D51)</f>
        <v>2205</v>
      </c>
      <c r="E52" s="478">
        <f t="shared" si="3"/>
        <v>762</v>
      </c>
      <c r="F52" s="478">
        <f t="shared" si="3"/>
        <v>2004</v>
      </c>
      <c r="G52" s="478">
        <f t="shared" si="3"/>
        <v>2095</v>
      </c>
      <c r="H52" s="478">
        <f t="shared" si="3"/>
        <v>1</v>
      </c>
      <c r="I52" s="478">
        <f t="shared" si="3"/>
        <v>1</v>
      </c>
      <c r="J52" s="474">
        <f t="shared" si="3"/>
        <v>1</v>
      </c>
    </row>
    <row r="53" spans="2:10" x14ac:dyDescent="0.2">
      <c r="B53" s="441" t="s">
        <v>97</v>
      </c>
      <c r="C53" s="423"/>
      <c r="D53" s="423"/>
      <c r="E53" s="423"/>
      <c r="F53" s="423"/>
      <c r="G53" s="423"/>
      <c r="H53" s="423"/>
      <c r="I53" s="423"/>
      <c r="J53" s="431"/>
    </row>
    <row r="54" spans="2:10" x14ac:dyDescent="0.2">
      <c r="B54" s="430" t="s">
        <v>98</v>
      </c>
      <c r="C54" s="423">
        <v>0</v>
      </c>
      <c r="D54" s="423">
        <v>0</v>
      </c>
      <c r="E54" s="423">
        <v>0</v>
      </c>
      <c r="F54" s="423">
        <v>0</v>
      </c>
      <c r="G54" s="423">
        <v>0</v>
      </c>
      <c r="H54" s="423">
        <v>0</v>
      </c>
      <c r="I54" s="423">
        <v>0</v>
      </c>
      <c r="J54" s="431">
        <v>0</v>
      </c>
    </row>
    <row r="55" spans="2:10" x14ac:dyDescent="0.2">
      <c r="B55" s="430" t="s">
        <v>99</v>
      </c>
      <c r="C55" s="423">
        <v>0</v>
      </c>
      <c r="D55" s="423">
        <v>0</v>
      </c>
      <c r="E55" s="423">
        <v>0</v>
      </c>
      <c r="F55" s="423">
        <v>0</v>
      </c>
      <c r="G55" s="423">
        <v>0</v>
      </c>
      <c r="H55" s="423">
        <v>0</v>
      </c>
      <c r="I55" s="423">
        <v>0</v>
      </c>
      <c r="J55" s="431">
        <v>0</v>
      </c>
    </row>
    <row r="56" spans="2:10" x14ac:dyDescent="0.2">
      <c r="B56" s="430" t="s">
        <v>100</v>
      </c>
      <c r="C56" s="423">
        <v>2</v>
      </c>
      <c r="D56" s="423">
        <v>9827</v>
      </c>
      <c r="E56" s="423">
        <v>1104</v>
      </c>
      <c r="F56" s="423">
        <v>9129</v>
      </c>
      <c r="G56" s="423">
        <v>9333</v>
      </c>
      <c r="H56" s="423">
        <v>1</v>
      </c>
      <c r="I56" s="423">
        <v>2</v>
      </c>
      <c r="J56" s="431">
        <v>2</v>
      </c>
    </row>
    <row r="57" spans="2:10" x14ac:dyDescent="0.2">
      <c r="B57" s="430" t="s">
        <v>192</v>
      </c>
      <c r="C57" s="423">
        <v>0</v>
      </c>
      <c r="D57" s="423">
        <v>0</v>
      </c>
      <c r="E57" s="423">
        <v>0</v>
      </c>
      <c r="F57" s="423">
        <v>0</v>
      </c>
      <c r="G57" s="423">
        <v>0</v>
      </c>
      <c r="H57" s="423">
        <v>0</v>
      </c>
      <c r="I57" s="423">
        <v>0</v>
      </c>
      <c r="J57" s="431">
        <v>0</v>
      </c>
    </row>
    <row r="58" spans="2:10" x14ac:dyDescent="0.2">
      <c r="B58" s="432" t="s">
        <v>193</v>
      </c>
      <c r="C58" s="423">
        <v>0</v>
      </c>
      <c r="D58" s="423">
        <v>0</v>
      </c>
      <c r="E58" s="423">
        <v>0</v>
      </c>
      <c r="F58" s="423">
        <v>0</v>
      </c>
      <c r="G58" s="423">
        <v>0</v>
      </c>
      <c r="H58" s="423">
        <v>0</v>
      </c>
      <c r="I58" s="423">
        <v>0</v>
      </c>
      <c r="J58" s="431">
        <v>0</v>
      </c>
    </row>
    <row r="59" spans="2:10" ht="12" customHeight="1" x14ac:dyDescent="0.2">
      <c r="B59" s="434" t="s">
        <v>22</v>
      </c>
      <c r="C59" s="434">
        <f>SUM(C54:C58)</f>
        <v>2</v>
      </c>
      <c r="D59" s="434">
        <f t="shared" ref="D59:J59" si="4">SUM(D54:D58)</f>
        <v>9827</v>
      </c>
      <c r="E59" s="434">
        <f t="shared" si="4"/>
        <v>1104</v>
      </c>
      <c r="F59" s="434">
        <f t="shared" si="4"/>
        <v>9129</v>
      </c>
      <c r="G59" s="434">
        <f t="shared" si="4"/>
        <v>9333</v>
      </c>
      <c r="H59" s="434">
        <f t="shared" si="4"/>
        <v>1</v>
      </c>
      <c r="I59" s="434">
        <f t="shared" si="4"/>
        <v>2</v>
      </c>
      <c r="J59" s="434">
        <f t="shared" si="4"/>
        <v>2</v>
      </c>
    </row>
    <row r="60" spans="2:10" hidden="1" x14ac:dyDescent="0.2">
      <c r="B60" s="428"/>
      <c r="C60" s="423"/>
      <c r="D60" s="423"/>
      <c r="E60" s="423"/>
      <c r="F60" s="423"/>
      <c r="G60" s="423"/>
      <c r="H60" s="423"/>
      <c r="I60" s="423"/>
      <c r="J60" s="431"/>
    </row>
    <row r="61" spans="2:10" hidden="1" x14ac:dyDescent="0.2">
      <c r="B61" s="430"/>
      <c r="C61" s="423"/>
      <c r="D61" s="423"/>
      <c r="E61" s="423"/>
      <c r="F61" s="423"/>
      <c r="G61" s="423"/>
      <c r="H61" s="423"/>
      <c r="I61" s="423"/>
      <c r="J61" s="431"/>
    </row>
    <row r="62" spans="2:10" hidden="1" x14ac:dyDescent="0.2">
      <c r="B62" s="430"/>
      <c r="C62" s="423"/>
      <c r="D62" s="423"/>
      <c r="E62" s="423"/>
      <c r="F62" s="423"/>
      <c r="G62" s="423"/>
      <c r="H62" s="423"/>
      <c r="I62" s="423"/>
      <c r="J62" s="431"/>
    </row>
    <row r="63" spans="2:10" hidden="1" x14ac:dyDescent="0.2">
      <c r="B63" s="430"/>
      <c r="C63" s="423"/>
      <c r="D63" s="423"/>
      <c r="E63" s="423"/>
      <c r="F63" s="423"/>
      <c r="G63" s="423"/>
      <c r="H63" s="423"/>
      <c r="I63" s="423"/>
      <c r="J63" s="431"/>
    </row>
    <row r="64" spans="2:10" hidden="1" x14ac:dyDescent="0.2">
      <c r="B64" s="430"/>
      <c r="C64" s="423"/>
      <c r="D64" s="423"/>
      <c r="E64" s="423"/>
      <c r="F64" s="423"/>
      <c r="G64" s="423"/>
      <c r="H64" s="423"/>
      <c r="I64" s="423"/>
      <c r="J64" s="431"/>
    </row>
    <row r="65" spans="2:10" hidden="1" x14ac:dyDescent="0.2">
      <c r="B65" s="430"/>
      <c r="C65" s="423"/>
      <c r="D65" s="423"/>
      <c r="E65" s="423"/>
      <c r="F65" s="423"/>
      <c r="G65" s="423"/>
      <c r="H65" s="423"/>
      <c r="I65" s="423"/>
      <c r="J65" s="431"/>
    </row>
    <row r="66" spans="2:10" hidden="1" x14ac:dyDescent="0.2">
      <c r="B66" s="430"/>
      <c r="C66" s="423"/>
      <c r="D66" s="423"/>
      <c r="E66" s="423"/>
      <c r="F66" s="423"/>
      <c r="G66" s="423"/>
      <c r="H66" s="423"/>
      <c r="I66" s="423"/>
      <c r="J66" s="431"/>
    </row>
    <row r="67" spans="2:10" hidden="1" x14ac:dyDescent="0.2">
      <c r="B67" s="430"/>
      <c r="C67" s="423"/>
      <c r="D67" s="423"/>
      <c r="E67" s="423"/>
      <c r="F67" s="423"/>
      <c r="G67" s="423"/>
      <c r="H67" s="423"/>
      <c r="I67" s="423"/>
      <c r="J67" s="431"/>
    </row>
    <row r="68" spans="2:10" ht="14.25" hidden="1" customHeight="1" x14ac:dyDescent="0.2">
      <c r="B68" s="479"/>
      <c r="C68" s="480"/>
      <c r="D68" s="480"/>
      <c r="E68" s="480"/>
      <c r="F68" s="480"/>
      <c r="G68" s="480"/>
      <c r="H68" s="480"/>
      <c r="I68" s="480"/>
      <c r="J68" s="480"/>
    </row>
    <row r="69" spans="2:10" hidden="1" x14ac:dyDescent="0.2">
      <c r="B69" s="428"/>
      <c r="C69" s="423"/>
      <c r="D69" s="423"/>
      <c r="E69" s="423"/>
      <c r="F69" s="423"/>
      <c r="G69" s="423"/>
      <c r="H69" s="423"/>
      <c r="I69" s="423"/>
      <c r="J69" s="431"/>
    </row>
    <row r="70" spans="2:10" hidden="1" x14ac:dyDescent="0.2">
      <c r="B70" s="430"/>
      <c r="C70" s="423"/>
      <c r="D70" s="423"/>
      <c r="E70" s="423"/>
      <c r="F70" s="423"/>
      <c r="G70" s="423"/>
      <c r="H70" s="423"/>
      <c r="I70" s="423"/>
      <c r="J70" s="431"/>
    </row>
    <row r="71" spans="2:10" hidden="1" x14ac:dyDescent="0.2">
      <c r="B71" s="430"/>
      <c r="C71" s="423"/>
      <c r="D71" s="423"/>
      <c r="E71" s="423"/>
      <c r="F71" s="423"/>
      <c r="G71" s="423"/>
      <c r="H71" s="423"/>
      <c r="I71" s="423"/>
      <c r="J71" s="431"/>
    </row>
    <row r="72" spans="2:10" hidden="1" x14ac:dyDescent="0.2">
      <c r="B72" s="430"/>
      <c r="C72" s="423"/>
      <c r="D72" s="423"/>
      <c r="E72" s="423"/>
      <c r="F72" s="423"/>
      <c r="G72" s="423"/>
      <c r="H72" s="423"/>
      <c r="I72" s="423"/>
      <c r="J72" s="431"/>
    </row>
    <row r="73" spans="2:10" hidden="1" x14ac:dyDescent="0.2">
      <c r="B73" s="430"/>
      <c r="C73" s="423"/>
      <c r="D73" s="423"/>
      <c r="E73" s="423"/>
      <c r="F73" s="423"/>
      <c r="G73" s="423"/>
      <c r="H73" s="423"/>
      <c r="I73" s="423"/>
      <c r="J73" s="431"/>
    </row>
    <row r="74" spans="2:10" hidden="1" x14ac:dyDescent="0.2">
      <c r="B74" s="430"/>
      <c r="C74" s="423"/>
      <c r="D74" s="423"/>
      <c r="E74" s="423"/>
      <c r="F74" s="423"/>
      <c r="G74" s="423"/>
      <c r="H74" s="423"/>
      <c r="I74" s="423"/>
      <c r="J74" s="431"/>
    </row>
    <row r="75" spans="2:10" ht="18.75" hidden="1" customHeight="1" x14ac:dyDescent="0.2">
      <c r="B75" s="479"/>
      <c r="C75" s="480"/>
      <c r="D75" s="480"/>
      <c r="E75" s="480"/>
      <c r="F75" s="480"/>
      <c r="G75" s="480"/>
      <c r="H75" s="480"/>
      <c r="I75" s="480"/>
      <c r="J75" s="480"/>
    </row>
    <row r="76" spans="2:10" hidden="1" x14ac:dyDescent="0.2">
      <c r="B76" s="428"/>
      <c r="C76" s="423"/>
      <c r="D76" s="423"/>
      <c r="E76" s="423"/>
      <c r="F76" s="423"/>
      <c r="G76" s="423"/>
      <c r="H76" s="423"/>
      <c r="I76" s="423"/>
      <c r="J76" s="431"/>
    </row>
    <row r="77" spans="2:10" hidden="1" x14ac:dyDescent="0.2">
      <c r="B77" s="430"/>
      <c r="C77" s="423"/>
      <c r="D77" s="423"/>
      <c r="E77" s="423"/>
      <c r="F77" s="423"/>
      <c r="G77" s="423"/>
      <c r="H77" s="423"/>
      <c r="I77" s="423"/>
      <c r="J77" s="431"/>
    </row>
    <row r="78" spans="2:10" hidden="1" x14ac:dyDescent="0.2">
      <c r="B78" s="430"/>
      <c r="C78" s="423"/>
      <c r="D78" s="423"/>
      <c r="E78" s="423"/>
      <c r="F78" s="423"/>
      <c r="G78" s="423"/>
      <c r="H78" s="423"/>
      <c r="I78" s="423"/>
      <c r="J78" s="431"/>
    </row>
    <row r="79" spans="2:10" hidden="1" x14ac:dyDescent="0.2">
      <c r="B79" s="430"/>
      <c r="C79" s="423"/>
      <c r="D79" s="423"/>
      <c r="E79" s="423"/>
      <c r="F79" s="423"/>
      <c r="G79" s="423"/>
      <c r="H79" s="423"/>
      <c r="I79" s="423"/>
      <c r="J79" s="431"/>
    </row>
    <row r="80" spans="2:10" hidden="1" x14ac:dyDescent="0.2">
      <c r="B80" s="430"/>
      <c r="C80" s="423"/>
      <c r="D80" s="423"/>
      <c r="E80" s="423"/>
      <c r="F80" s="423"/>
      <c r="G80" s="423"/>
      <c r="H80" s="423"/>
      <c r="I80" s="423"/>
      <c r="J80" s="431"/>
    </row>
    <row r="81" spans="2:10" hidden="1" x14ac:dyDescent="0.2">
      <c r="B81" s="430"/>
      <c r="C81" s="423"/>
      <c r="D81" s="423"/>
      <c r="E81" s="423"/>
      <c r="F81" s="423"/>
      <c r="G81" s="423"/>
      <c r="H81" s="423"/>
      <c r="I81" s="423"/>
      <c r="J81" s="431"/>
    </row>
    <row r="82" spans="2:10" hidden="1" x14ac:dyDescent="0.2">
      <c r="B82" s="430"/>
      <c r="C82" s="423"/>
      <c r="D82" s="423"/>
      <c r="E82" s="423"/>
      <c r="F82" s="423"/>
      <c r="G82" s="423"/>
      <c r="H82" s="423"/>
      <c r="I82" s="423"/>
      <c r="J82" s="431"/>
    </row>
    <row r="83" spans="2:10" ht="16.5" hidden="1" customHeight="1" x14ac:dyDescent="0.2">
      <c r="B83" s="479"/>
      <c r="C83" s="480"/>
      <c r="D83" s="480"/>
      <c r="E83" s="480"/>
      <c r="F83" s="480"/>
      <c r="G83" s="480"/>
      <c r="H83" s="480"/>
      <c r="I83" s="480"/>
      <c r="J83" s="480"/>
    </row>
    <row r="84" spans="2:10" hidden="1" x14ac:dyDescent="0.2">
      <c r="B84" s="481"/>
      <c r="C84" s="423"/>
      <c r="D84" s="423"/>
      <c r="E84" s="423"/>
      <c r="F84" s="423"/>
      <c r="G84" s="423"/>
      <c r="H84" s="423"/>
      <c r="I84" s="423"/>
      <c r="J84" s="431"/>
    </row>
    <row r="85" spans="2:10" hidden="1" x14ac:dyDescent="0.2">
      <c r="B85" s="481"/>
      <c r="C85" s="423"/>
      <c r="D85" s="423"/>
      <c r="E85" s="423"/>
      <c r="F85" s="423"/>
      <c r="G85" s="423"/>
      <c r="H85" s="423"/>
      <c r="I85" s="423"/>
      <c r="J85" s="431"/>
    </row>
    <row r="86" spans="2:10" hidden="1" x14ac:dyDescent="0.2">
      <c r="B86" s="481"/>
      <c r="C86" s="423"/>
      <c r="D86" s="423"/>
      <c r="E86" s="423"/>
      <c r="F86" s="423"/>
      <c r="G86" s="423"/>
      <c r="H86" s="423"/>
      <c r="I86" s="423"/>
      <c r="J86" s="431"/>
    </row>
    <row r="87" spans="2:10" hidden="1" x14ac:dyDescent="0.2">
      <c r="B87" s="481"/>
      <c r="C87" s="423"/>
      <c r="D87" s="423"/>
      <c r="E87" s="423"/>
      <c r="F87" s="423"/>
      <c r="G87" s="423"/>
      <c r="H87" s="423"/>
      <c r="I87" s="423"/>
      <c r="J87" s="431"/>
    </row>
    <row r="88" spans="2:10" hidden="1" x14ac:dyDescent="0.2">
      <c r="B88" s="481"/>
      <c r="C88" s="423"/>
      <c r="D88" s="423"/>
      <c r="E88" s="423"/>
      <c r="F88" s="423"/>
      <c r="G88" s="423"/>
      <c r="H88" s="423"/>
      <c r="I88" s="423"/>
      <c r="J88" s="431"/>
    </row>
    <row r="89" spans="2:10" hidden="1" x14ac:dyDescent="0.2">
      <c r="B89" s="481"/>
      <c r="C89" s="423"/>
      <c r="D89" s="423"/>
      <c r="E89" s="423"/>
      <c r="F89" s="423"/>
      <c r="G89" s="423"/>
      <c r="H89" s="423"/>
      <c r="I89" s="423"/>
      <c r="J89" s="431"/>
    </row>
    <row r="90" spans="2:10" hidden="1" x14ac:dyDescent="0.2">
      <c r="B90" s="481"/>
      <c r="C90" s="423"/>
      <c r="D90" s="423"/>
      <c r="E90" s="423"/>
      <c r="F90" s="423"/>
      <c r="G90" s="423"/>
      <c r="H90" s="423"/>
      <c r="I90" s="423"/>
      <c r="J90" s="431"/>
    </row>
    <row r="91" spans="2:10" hidden="1" x14ac:dyDescent="0.2">
      <c r="B91" s="481"/>
      <c r="C91" s="423"/>
      <c r="D91" s="423"/>
      <c r="E91" s="423"/>
      <c r="F91" s="423"/>
      <c r="G91" s="423"/>
      <c r="H91" s="423"/>
      <c r="I91" s="423"/>
      <c r="J91" s="431"/>
    </row>
    <row r="92" spans="2:10" hidden="1" x14ac:dyDescent="0.2">
      <c r="B92" s="481"/>
      <c r="C92" s="423"/>
      <c r="D92" s="423"/>
      <c r="E92" s="423"/>
      <c r="F92" s="423"/>
      <c r="G92" s="423"/>
      <c r="H92" s="423"/>
      <c r="I92" s="423"/>
      <c r="J92" s="431"/>
    </row>
    <row r="93" spans="2:10" hidden="1" x14ac:dyDescent="0.2">
      <c r="B93" s="430"/>
      <c r="C93" s="423"/>
      <c r="D93" s="423"/>
      <c r="E93" s="423"/>
      <c r="F93" s="423"/>
      <c r="G93" s="423"/>
      <c r="H93" s="423"/>
      <c r="I93" s="423"/>
      <c r="J93" s="431"/>
    </row>
    <row r="94" spans="2:10" s="175" customFormat="1" ht="15.75" hidden="1" x14ac:dyDescent="0.25">
      <c r="B94" s="1014"/>
      <c r="C94" s="1015"/>
      <c r="D94" s="1015"/>
      <c r="E94" s="1015"/>
      <c r="F94" s="1015"/>
      <c r="G94" s="1015"/>
      <c r="H94" s="1015"/>
      <c r="I94" s="1015"/>
      <c r="J94" s="1016"/>
    </row>
    <row r="95" spans="2:10" s="175" customFormat="1" ht="15.75" hidden="1" x14ac:dyDescent="0.25">
      <c r="B95" s="504"/>
      <c r="C95" s="423"/>
      <c r="D95" s="423"/>
      <c r="E95" s="423"/>
      <c r="F95" s="423"/>
      <c r="G95" s="423"/>
      <c r="H95" s="423"/>
      <c r="I95" s="1015"/>
      <c r="J95" s="1016"/>
    </row>
    <row r="96" spans="2:10" s="175" customFormat="1" ht="15.75" hidden="1" x14ac:dyDescent="0.25">
      <c r="B96" s="1017"/>
      <c r="C96" s="1018"/>
      <c r="D96" s="1018"/>
      <c r="E96" s="1018"/>
      <c r="F96" s="1018"/>
      <c r="G96" s="1018"/>
      <c r="H96" s="1018"/>
      <c r="I96" s="1018"/>
      <c r="J96" s="1019"/>
    </row>
    <row r="97" spans="2:12" hidden="1" x14ac:dyDescent="0.2">
      <c r="B97" s="481"/>
      <c r="C97" s="423"/>
      <c r="D97" s="423"/>
      <c r="E97" s="423"/>
      <c r="F97" s="423"/>
      <c r="G97" s="423"/>
      <c r="H97" s="423"/>
      <c r="I97" s="423"/>
      <c r="J97" s="431"/>
    </row>
    <row r="98" spans="2:12" s="425" customFormat="1" hidden="1" x14ac:dyDescent="0.2">
      <c r="B98" s="505"/>
      <c r="C98" s="506"/>
      <c r="D98" s="507"/>
      <c r="E98" s="507"/>
      <c r="F98" s="507"/>
      <c r="G98" s="507"/>
      <c r="H98" s="507"/>
      <c r="I98" s="1011"/>
      <c r="J98" s="1012"/>
      <c r="K98" s="424"/>
      <c r="L98" s="424"/>
    </row>
    <row r="99" spans="2:12" s="425" customFormat="1" hidden="1" x14ac:dyDescent="0.2">
      <c r="B99" s="508"/>
      <c r="C99" s="509"/>
      <c r="D99" s="510"/>
      <c r="E99" s="510"/>
      <c r="F99" s="510"/>
      <c r="G99" s="510"/>
      <c r="H99" s="510"/>
      <c r="I99" s="1009"/>
      <c r="J99" s="1010"/>
      <c r="K99" s="424"/>
      <c r="L99" s="424"/>
    </row>
    <row r="100" spans="2:12" s="425" customFormat="1" hidden="1" x14ac:dyDescent="0.2">
      <c r="B100" s="511"/>
      <c r="C100" s="509"/>
      <c r="D100" s="510"/>
      <c r="E100" s="510"/>
      <c r="F100" s="510"/>
      <c r="G100" s="510"/>
      <c r="H100" s="510"/>
      <c r="I100" s="512"/>
      <c r="J100" s="506"/>
      <c r="K100" s="424"/>
      <c r="L100" s="424"/>
    </row>
    <row r="101" spans="2:12" s="425" customFormat="1" hidden="1" x14ac:dyDescent="0.2">
      <c r="B101" s="513"/>
      <c r="C101" s="509"/>
      <c r="D101" s="510"/>
      <c r="E101" s="514"/>
      <c r="F101" s="514"/>
      <c r="G101" s="510"/>
      <c r="H101" s="514"/>
      <c r="I101" s="515"/>
      <c r="J101" s="509"/>
      <c r="K101" s="424"/>
      <c r="L101" s="424"/>
    </row>
    <row r="102" spans="2:12" hidden="1" x14ac:dyDescent="0.2">
      <c r="B102" s="435"/>
      <c r="C102" s="436"/>
      <c r="D102" s="436"/>
      <c r="E102" s="436"/>
      <c r="F102" s="436"/>
      <c r="G102" s="436"/>
      <c r="H102" s="436"/>
      <c r="I102" s="436"/>
      <c r="J102" s="436"/>
      <c r="K102" s="437"/>
      <c r="L102" s="437"/>
    </row>
    <row r="103" spans="2:12" hidden="1" x14ac:dyDescent="0.2">
      <c r="B103" s="428"/>
      <c r="C103" s="423"/>
      <c r="D103" s="423"/>
      <c r="E103" s="423"/>
      <c r="F103" s="423"/>
      <c r="G103" s="423"/>
      <c r="H103" s="423"/>
      <c r="I103" s="423"/>
      <c r="J103" s="429"/>
      <c r="K103" s="437"/>
      <c r="L103" s="437"/>
    </row>
    <row r="104" spans="2:12" hidden="1" x14ac:dyDescent="0.2">
      <c r="B104" s="430"/>
      <c r="C104" s="423"/>
      <c r="D104" s="423"/>
      <c r="E104" s="423"/>
      <c r="F104" s="423"/>
      <c r="G104" s="423"/>
      <c r="H104" s="423"/>
      <c r="I104" s="423"/>
      <c r="J104" s="431"/>
      <c r="K104" s="437"/>
      <c r="L104" s="437"/>
    </row>
    <row r="105" spans="2:12" hidden="1" x14ac:dyDescent="0.2">
      <c r="B105" s="430"/>
      <c r="C105" s="423"/>
      <c r="D105" s="423"/>
      <c r="E105" s="423"/>
      <c r="F105" s="423"/>
      <c r="G105" s="423"/>
      <c r="H105" s="423"/>
      <c r="I105" s="423"/>
      <c r="J105" s="431"/>
      <c r="K105" s="437"/>
      <c r="L105" s="437"/>
    </row>
    <row r="106" spans="2:12" hidden="1" x14ac:dyDescent="0.2">
      <c r="B106" s="430"/>
      <c r="C106" s="423"/>
      <c r="D106" s="423"/>
      <c r="E106" s="423"/>
      <c r="F106" s="423"/>
      <c r="G106" s="423"/>
      <c r="H106" s="423"/>
      <c r="I106" s="423"/>
      <c r="J106" s="431"/>
      <c r="K106" s="437"/>
      <c r="L106" s="437"/>
    </row>
    <row r="107" spans="2:12" hidden="1" x14ac:dyDescent="0.2">
      <c r="B107" s="430"/>
      <c r="C107" s="423"/>
      <c r="D107" s="423"/>
      <c r="E107" s="423"/>
      <c r="F107" s="423"/>
      <c r="G107" s="423"/>
      <c r="H107" s="423"/>
      <c r="I107" s="423"/>
      <c r="J107" s="431"/>
      <c r="K107" s="437"/>
      <c r="L107" s="437"/>
    </row>
    <row r="108" spans="2:12" hidden="1" x14ac:dyDescent="0.2">
      <c r="B108" s="430"/>
      <c r="C108" s="423"/>
      <c r="D108" s="423"/>
      <c r="E108" s="423"/>
      <c r="F108" s="423"/>
      <c r="G108" s="423"/>
      <c r="H108" s="423"/>
      <c r="I108" s="423"/>
      <c r="J108" s="431"/>
      <c r="K108" s="437"/>
      <c r="L108" s="437"/>
    </row>
    <row r="109" spans="2:12" hidden="1" x14ac:dyDescent="0.2">
      <c r="B109" s="430"/>
      <c r="C109" s="423"/>
      <c r="D109" s="423"/>
      <c r="E109" s="423"/>
      <c r="F109" s="423"/>
      <c r="G109" s="423"/>
      <c r="H109" s="423"/>
      <c r="I109" s="423"/>
      <c r="J109" s="431"/>
      <c r="K109" s="437"/>
      <c r="L109" s="437"/>
    </row>
    <row r="110" spans="2:12" hidden="1" x14ac:dyDescent="0.2">
      <c r="B110" s="430"/>
      <c r="C110" s="423"/>
      <c r="D110" s="423"/>
      <c r="E110" s="423"/>
      <c r="F110" s="423"/>
      <c r="G110" s="423"/>
      <c r="H110" s="423"/>
      <c r="I110" s="423"/>
      <c r="J110" s="433"/>
      <c r="K110" s="437"/>
      <c r="L110" s="437"/>
    </row>
    <row r="111" spans="2:12" ht="15" hidden="1" customHeight="1" x14ac:dyDescent="0.2">
      <c r="B111" s="479"/>
      <c r="C111" s="480"/>
      <c r="D111" s="480"/>
      <c r="E111" s="480"/>
      <c r="F111" s="480"/>
      <c r="G111" s="480"/>
      <c r="H111" s="480"/>
      <c r="I111" s="480"/>
      <c r="J111" s="480"/>
      <c r="K111" s="437"/>
      <c r="L111" s="437"/>
    </row>
    <row r="112" spans="2:12" hidden="1" x14ac:dyDescent="0.2">
      <c r="B112" s="428"/>
      <c r="C112" s="423"/>
      <c r="D112" s="423"/>
      <c r="E112" s="423"/>
      <c r="F112" s="423"/>
      <c r="G112" s="423"/>
      <c r="H112" s="423"/>
      <c r="I112" s="423"/>
      <c r="J112" s="431"/>
    </row>
    <row r="113" spans="2:10" hidden="1" x14ac:dyDescent="0.2">
      <c r="B113" s="430"/>
      <c r="C113" s="423"/>
      <c r="D113" s="423"/>
      <c r="E113" s="423"/>
      <c r="F113" s="423"/>
      <c r="G113" s="423"/>
      <c r="H113" s="423"/>
      <c r="I113" s="423"/>
      <c r="J113" s="431"/>
    </row>
    <row r="114" spans="2:10" hidden="1" x14ac:dyDescent="0.2">
      <c r="B114" s="430"/>
      <c r="C114" s="423"/>
      <c r="D114" s="423"/>
      <c r="E114" s="423"/>
      <c r="F114" s="423"/>
      <c r="G114" s="423"/>
      <c r="H114" s="423"/>
      <c r="I114" s="423"/>
      <c r="J114" s="431"/>
    </row>
    <row r="115" spans="2:10" hidden="1" x14ac:dyDescent="0.2">
      <c r="B115" s="430"/>
      <c r="C115" s="423"/>
      <c r="D115" s="423"/>
      <c r="E115" s="423"/>
      <c r="F115" s="423"/>
      <c r="G115" s="423"/>
      <c r="H115" s="423"/>
      <c r="I115" s="423"/>
      <c r="J115" s="431"/>
    </row>
    <row r="116" spans="2:10" hidden="1" x14ac:dyDescent="0.2">
      <c r="B116" s="430"/>
      <c r="C116" s="423"/>
      <c r="D116" s="453"/>
      <c r="E116" s="423"/>
      <c r="F116" s="423"/>
      <c r="G116" s="423"/>
      <c r="H116" s="423"/>
      <c r="I116" s="423"/>
      <c r="J116" s="431"/>
    </row>
    <row r="117" spans="2:10" ht="14.25" hidden="1" customHeight="1" x14ac:dyDescent="0.2">
      <c r="B117" s="479"/>
      <c r="C117" s="480"/>
      <c r="D117" s="480"/>
      <c r="E117" s="480"/>
      <c r="F117" s="480"/>
      <c r="G117" s="480"/>
      <c r="H117" s="480"/>
      <c r="I117" s="480"/>
      <c r="J117" s="480"/>
    </row>
    <row r="118" spans="2:10" hidden="1" x14ac:dyDescent="0.2">
      <c r="B118" s="428"/>
      <c r="C118" s="423"/>
      <c r="D118" s="423"/>
      <c r="E118" s="423"/>
      <c r="F118" s="423"/>
      <c r="G118" s="423"/>
      <c r="H118" s="423"/>
      <c r="I118" s="423"/>
      <c r="J118" s="431"/>
    </row>
    <row r="119" spans="2:10" hidden="1" x14ac:dyDescent="0.2">
      <c r="B119" s="430"/>
      <c r="C119" s="423"/>
      <c r="D119" s="423"/>
      <c r="E119" s="423"/>
      <c r="F119" s="423"/>
      <c r="G119" s="423"/>
      <c r="H119" s="423"/>
      <c r="I119" s="423"/>
      <c r="J119" s="431"/>
    </row>
    <row r="120" spans="2:10" hidden="1" x14ac:dyDescent="0.2">
      <c r="B120" s="430"/>
      <c r="C120" s="423"/>
      <c r="D120" s="423"/>
      <c r="E120" s="423"/>
      <c r="F120" s="423"/>
      <c r="G120" s="423"/>
      <c r="H120" s="423"/>
      <c r="I120" s="423"/>
      <c r="J120" s="431"/>
    </row>
    <row r="121" spans="2:10" hidden="1" x14ac:dyDescent="0.2">
      <c r="B121" s="430"/>
      <c r="C121" s="423"/>
      <c r="D121" s="423"/>
      <c r="E121" s="423"/>
      <c r="F121" s="423"/>
      <c r="G121" s="423"/>
      <c r="H121" s="423"/>
      <c r="I121" s="423"/>
      <c r="J121" s="431"/>
    </row>
    <row r="122" spans="2:10" hidden="1" x14ac:dyDescent="0.2">
      <c r="B122" s="430"/>
      <c r="C122" s="423"/>
      <c r="D122" s="423"/>
      <c r="E122" s="423"/>
      <c r="F122" s="423"/>
      <c r="G122" s="423"/>
      <c r="H122" s="423"/>
      <c r="I122" s="423"/>
      <c r="J122" s="431"/>
    </row>
    <row r="123" spans="2:10" ht="16.5" hidden="1" customHeight="1" x14ac:dyDescent="0.2">
      <c r="B123" s="479"/>
      <c r="C123" s="480"/>
      <c r="D123" s="480"/>
      <c r="E123" s="480"/>
      <c r="F123" s="480"/>
      <c r="G123" s="480"/>
      <c r="H123" s="480"/>
      <c r="I123" s="480"/>
      <c r="J123" s="480"/>
    </row>
    <row r="124" spans="2:10" hidden="1" x14ac:dyDescent="0.2">
      <c r="B124" s="428"/>
      <c r="C124" s="423"/>
      <c r="D124" s="423"/>
      <c r="E124" s="423"/>
      <c r="F124" s="423"/>
      <c r="G124" s="423"/>
      <c r="H124" s="423"/>
      <c r="I124" s="423"/>
      <c r="J124" s="431"/>
    </row>
    <row r="125" spans="2:10" hidden="1" x14ac:dyDescent="0.2">
      <c r="B125" s="430"/>
      <c r="C125" s="423"/>
      <c r="D125" s="423"/>
      <c r="E125" s="423"/>
      <c r="F125" s="423"/>
      <c r="G125" s="423"/>
      <c r="H125" s="423"/>
      <c r="I125" s="423"/>
      <c r="J125" s="431"/>
    </row>
    <row r="126" spans="2:10" hidden="1" x14ac:dyDescent="0.2">
      <c r="B126" s="430"/>
      <c r="C126" s="423"/>
      <c r="D126" s="423"/>
      <c r="E126" s="423"/>
      <c r="F126" s="423"/>
      <c r="G126" s="423"/>
      <c r="H126" s="423"/>
      <c r="I126" s="423"/>
      <c r="J126" s="431"/>
    </row>
    <row r="127" spans="2:10" hidden="1" x14ac:dyDescent="0.2">
      <c r="B127" s="430"/>
      <c r="C127" s="423"/>
      <c r="D127" s="423"/>
      <c r="E127" s="423"/>
      <c r="F127" s="423"/>
      <c r="G127" s="423"/>
      <c r="H127" s="423"/>
      <c r="I127" s="423"/>
      <c r="J127" s="431"/>
    </row>
    <row r="128" spans="2:10" hidden="1" x14ac:dyDescent="0.2">
      <c r="B128" s="430"/>
      <c r="C128" s="423"/>
      <c r="D128" s="423"/>
      <c r="E128" s="423"/>
      <c r="F128" s="423"/>
      <c r="G128" s="423"/>
      <c r="H128" s="423"/>
      <c r="I128" s="423"/>
      <c r="J128" s="431"/>
    </row>
    <row r="129" spans="2:10" hidden="1" x14ac:dyDescent="0.2">
      <c r="B129" s="430"/>
      <c r="C129" s="423"/>
      <c r="D129" s="423"/>
      <c r="E129" s="423"/>
      <c r="F129" s="423"/>
      <c r="G129" s="423"/>
      <c r="H129" s="423"/>
      <c r="I129" s="423"/>
      <c r="J129" s="431"/>
    </row>
    <row r="130" spans="2:10" hidden="1" x14ac:dyDescent="0.2">
      <c r="B130" s="430"/>
      <c r="C130" s="423"/>
      <c r="D130" s="423"/>
      <c r="E130" s="423"/>
      <c r="F130" s="423"/>
      <c r="G130" s="423"/>
      <c r="H130" s="423"/>
      <c r="I130" s="423"/>
      <c r="J130" s="431"/>
    </row>
    <row r="131" spans="2:10" ht="14.25" hidden="1" customHeight="1" x14ac:dyDescent="0.2">
      <c r="B131" s="479"/>
      <c r="C131" s="480"/>
      <c r="D131" s="480"/>
      <c r="E131" s="480"/>
      <c r="F131" s="480"/>
      <c r="G131" s="480"/>
      <c r="H131" s="480"/>
      <c r="I131" s="480"/>
      <c r="J131" s="480"/>
    </row>
    <row r="132" spans="2:10" hidden="1" x14ac:dyDescent="0.2">
      <c r="B132" s="428"/>
      <c r="C132" s="423"/>
      <c r="D132" s="423"/>
      <c r="E132" s="423"/>
      <c r="F132" s="423"/>
      <c r="G132" s="423"/>
      <c r="H132" s="423"/>
      <c r="I132" s="423"/>
      <c r="J132" s="431"/>
    </row>
    <row r="133" spans="2:10" hidden="1" x14ac:dyDescent="0.2">
      <c r="B133" s="430"/>
      <c r="C133" s="423"/>
      <c r="D133" s="423"/>
      <c r="E133" s="423"/>
      <c r="F133" s="423"/>
      <c r="G133" s="423"/>
      <c r="H133" s="423"/>
      <c r="I133" s="423"/>
      <c r="J133" s="431"/>
    </row>
    <row r="134" spans="2:10" hidden="1" x14ac:dyDescent="0.2">
      <c r="B134" s="430"/>
      <c r="C134" s="423"/>
      <c r="D134" s="423"/>
      <c r="E134" s="423"/>
      <c r="F134" s="423"/>
      <c r="G134" s="423"/>
      <c r="H134" s="423"/>
      <c r="I134" s="423"/>
      <c r="J134" s="431"/>
    </row>
    <row r="135" spans="2:10" hidden="1" x14ac:dyDescent="0.2">
      <c r="B135" s="430"/>
      <c r="C135" s="423"/>
      <c r="D135" s="423"/>
      <c r="E135" s="423"/>
      <c r="F135" s="423"/>
      <c r="G135" s="423"/>
      <c r="H135" s="423"/>
      <c r="I135" s="423"/>
      <c r="J135" s="431"/>
    </row>
    <row r="136" spans="2:10" hidden="1" x14ac:dyDescent="0.2">
      <c r="B136" s="430"/>
      <c r="C136" s="423"/>
      <c r="D136" s="423"/>
      <c r="E136" s="423"/>
      <c r="F136" s="423"/>
      <c r="G136" s="423"/>
      <c r="H136" s="423"/>
      <c r="I136" s="423"/>
      <c r="J136" s="431"/>
    </row>
    <row r="137" spans="2:10" hidden="1" x14ac:dyDescent="0.2">
      <c r="B137" s="430"/>
      <c r="C137" s="423"/>
      <c r="D137" s="423"/>
      <c r="E137" s="423"/>
      <c r="F137" s="423"/>
      <c r="G137" s="423"/>
      <c r="H137" s="423"/>
      <c r="I137" s="423"/>
      <c r="J137" s="431"/>
    </row>
    <row r="138" spans="2:10" hidden="1" x14ac:dyDescent="0.2">
      <c r="B138" s="430"/>
      <c r="C138" s="423"/>
      <c r="D138" s="423"/>
      <c r="E138" s="423"/>
      <c r="F138" s="423"/>
      <c r="G138" s="423"/>
      <c r="H138" s="423"/>
      <c r="I138" s="423"/>
      <c r="J138" s="431"/>
    </row>
    <row r="139" spans="2:10" hidden="1" x14ac:dyDescent="0.2">
      <c r="B139" s="430"/>
      <c r="C139" s="423"/>
      <c r="D139" s="423"/>
      <c r="E139" s="423"/>
      <c r="F139" s="423"/>
      <c r="G139" s="423"/>
      <c r="H139" s="423"/>
      <c r="I139" s="423"/>
      <c r="J139" s="431"/>
    </row>
    <row r="140" spans="2:10" hidden="1" x14ac:dyDescent="0.2">
      <c r="B140" s="430"/>
      <c r="C140" s="423"/>
      <c r="D140" s="423"/>
      <c r="E140" s="423"/>
      <c r="F140" s="423"/>
      <c r="G140" s="423"/>
      <c r="H140" s="423"/>
      <c r="I140" s="423"/>
      <c r="J140" s="431"/>
    </row>
    <row r="141" spans="2:10" ht="14.25" hidden="1" customHeight="1" x14ac:dyDescent="0.2">
      <c r="B141" s="479"/>
      <c r="C141" s="480"/>
      <c r="D141" s="480"/>
      <c r="E141" s="480"/>
      <c r="F141" s="480"/>
      <c r="G141" s="480"/>
      <c r="H141" s="480"/>
      <c r="I141" s="480"/>
      <c r="J141" s="480"/>
    </row>
    <row r="142" spans="2:10" ht="18" customHeight="1" x14ac:dyDescent="0.2">
      <c r="B142" s="516" t="s">
        <v>115</v>
      </c>
      <c r="C142" s="516">
        <f>SUM(C59,C52, C44, C36,C26)</f>
        <v>9</v>
      </c>
      <c r="D142" s="516">
        <f>SUM(D59,D52, D44, D36,D26)</f>
        <v>64621</v>
      </c>
      <c r="E142" s="516">
        <f t="shared" ref="E142:J142" si="5">SUM(E59,E52,E44,E36,E26)</f>
        <v>6757</v>
      </c>
      <c r="F142" s="516">
        <f t="shared" si="5"/>
        <v>48245</v>
      </c>
      <c r="G142" s="516">
        <f t="shared" si="5"/>
        <v>59070</v>
      </c>
      <c r="H142" s="516">
        <f t="shared" si="5"/>
        <v>13</v>
      </c>
      <c r="I142" s="516">
        <f t="shared" si="5"/>
        <v>9</v>
      </c>
      <c r="J142" s="516">
        <f t="shared" si="5"/>
        <v>9</v>
      </c>
    </row>
    <row r="143" spans="2:10" x14ac:dyDescent="0.2">
      <c r="B143" s="440"/>
    </row>
    <row r="144" spans="2:10" x14ac:dyDescent="0.2">
      <c r="B144" s="440"/>
    </row>
    <row r="145" spans="2:5" x14ac:dyDescent="0.2">
      <c r="B145" s="440"/>
    </row>
    <row r="146" spans="2:5" x14ac:dyDescent="0.2">
      <c r="B146" s="440"/>
    </row>
    <row r="147" spans="2:5" x14ac:dyDescent="0.2">
      <c r="B147" s="440"/>
    </row>
    <row r="148" spans="2:5" x14ac:dyDescent="0.2">
      <c r="B148" s="440"/>
    </row>
    <row r="149" spans="2:5" x14ac:dyDescent="0.2">
      <c r="B149" s="440"/>
      <c r="D149" s="423"/>
      <c r="E149" s="482"/>
    </row>
    <row r="150" spans="2:5" x14ac:dyDescent="0.2">
      <c r="B150" s="440"/>
      <c r="D150" s="423"/>
      <c r="E150" s="483"/>
    </row>
    <row r="151" spans="2:5" x14ac:dyDescent="0.2">
      <c r="B151" s="440"/>
      <c r="D151" s="423"/>
      <c r="E151" s="483"/>
    </row>
    <row r="152" spans="2:5" x14ac:dyDescent="0.2">
      <c r="B152" s="440"/>
      <c r="D152" s="423"/>
      <c r="E152" s="483"/>
    </row>
    <row r="153" spans="2:5" x14ac:dyDescent="0.2">
      <c r="B153" s="440"/>
      <c r="D153" s="423"/>
      <c r="E153" s="483"/>
    </row>
    <row r="154" spans="2:5" x14ac:dyDescent="0.2">
      <c r="B154" s="440"/>
      <c r="D154" s="423"/>
      <c r="E154" s="483"/>
    </row>
    <row r="155" spans="2:5" x14ac:dyDescent="0.2">
      <c r="B155" s="440"/>
      <c r="D155" s="423"/>
      <c r="E155" s="483"/>
    </row>
    <row r="156" spans="2:5" x14ac:dyDescent="0.2">
      <c r="B156" s="440"/>
      <c r="D156" s="423"/>
      <c r="E156" s="483"/>
    </row>
    <row r="157" spans="2:5" x14ac:dyDescent="0.2">
      <c r="B157" s="440"/>
      <c r="D157" s="423"/>
      <c r="E157" s="423"/>
    </row>
    <row r="158" spans="2:5" x14ac:dyDescent="0.2">
      <c r="B158" s="440"/>
    </row>
    <row r="159" spans="2:5" x14ac:dyDescent="0.2">
      <c r="B159" s="440"/>
    </row>
    <row r="160" spans="2:5" x14ac:dyDescent="0.2">
      <c r="B160" s="440"/>
    </row>
    <row r="161" spans="2:2" x14ac:dyDescent="0.2">
      <c r="B161" s="440"/>
    </row>
    <row r="162" spans="2:2" x14ac:dyDescent="0.2">
      <c r="B162" s="440"/>
    </row>
    <row r="163" spans="2:2" x14ac:dyDescent="0.2">
      <c r="B163" s="440"/>
    </row>
    <row r="164" spans="2:2" x14ac:dyDescent="0.2">
      <c r="B164" s="440"/>
    </row>
    <row r="165" spans="2:2" x14ac:dyDescent="0.2">
      <c r="B165" s="440"/>
    </row>
    <row r="166" spans="2:2" x14ac:dyDescent="0.2">
      <c r="B166" s="440"/>
    </row>
    <row r="167" spans="2:2" x14ac:dyDescent="0.2">
      <c r="B167" s="440"/>
    </row>
    <row r="168" spans="2:2" x14ac:dyDescent="0.2">
      <c r="B168" s="440"/>
    </row>
    <row r="169" spans="2:2" x14ac:dyDescent="0.2">
      <c r="B169" s="440"/>
    </row>
    <row r="170" spans="2:2" x14ac:dyDescent="0.2">
      <c r="B170" s="440"/>
    </row>
    <row r="171" spans="2:2" x14ac:dyDescent="0.2">
      <c r="B171" s="440"/>
    </row>
    <row r="172" spans="2:2" x14ac:dyDescent="0.2">
      <c r="B172" s="440"/>
    </row>
    <row r="173" spans="2:2" x14ac:dyDescent="0.2">
      <c r="B173" s="440"/>
    </row>
    <row r="174" spans="2:2" x14ac:dyDescent="0.2">
      <c r="B174" s="440"/>
    </row>
    <row r="175" spans="2:2" x14ac:dyDescent="0.2">
      <c r="B175" s="440"/>
    </row>
    <row r="176" spans="2:2" x14ac:dyDescent="0.2">
      <c r="B176" s="440"/>
    </row>
    <row r="177" spans="2:2" x14ac:dyDescent="0.2">
      <c r="B177" s="440"/>
    </row>
    <row r="178" spans="2:2" x14ac:dyDescent="0.2">
      <c r="B178" s="440"/>
    </row>
    <row r="179" spans="2:2" x14ac:dyDescent="0.2">
      <c r="B179" s="440"/>
    </row>
    <row r="180" spans="2:2" x14ac:dyDescent="0.2">
      <c r="B180" s="440"/>
    </row>
    <row r="181" spans="2:2" x14ac:dyDescent="0.2">
      <c r="B181" s="440"/>
    </row>
    <row r="182" spans="2:2" x14ac:dyDescent="0.2">
      <c r="B182" s="440"/>
    </row>
    <row r="183" spans="2:2" x14ac:dyDescent="0.2">
      <c r="B183" s="440"/>
    </row>
    <row r="184" spans="2:2" x14ac:dyDescent="0.2">
      <c r="B184" s="440"/>
    </row>
    <row r="185" spans="2:2" x14ac:dyDescent="0.2">
      <c r="B185" s="440"/>
    </row>
    <row r="186" spans="2:2" x14ac:dyDescent="0.2">
      <c r="B186" s="440"/>
    </row>
    <row r="187" spans="2:2" x14ac:dyDescent="0.2">
      <c r="B187" s="440"/>
    </row>
    <row r="188" spans="2:2" x14ac:dyDescent="0.2">
      <c r="B188" s="440"/>
    </row>
    <row r="189" spans="2:2" x14ac:dyDescent="0.2">
      <c r="B189" s="440"/>
    </row>
    <row r="190" spans="2:2" x14ac:dyDescent="0.2">
      <c r="B190" s="440"/>
    </row>
    <row r="191" spans="2:2" x14ac:dyDescent="0.2">
      <c r="B191" s="440"/>
    </row>
    <row r="192" spans="2:2" x14ac:dyDescent="0.2">
      <c r="B192" s="440"/>
    </row>
    <row r="193" spans="2:2" x14ac:dyDescent="0.2">
      <c r="B193" s="440"/>
    </row>
    <row r="194" spans="2:2" x14ac:dyDescent="0.2">
      <c r="B194" s="440"/>
    </row>
    <row r="195" spans="2:2" x14ac:dyDescent="0.2">
      <c r="B195" s="440"/>
    </row>
    <row r="196" spans="2:2" x14ac:dyDescent="0.2">
      <c r="B196" s="440"/>
    </row>
    <row r="197" spans="2:2" x14ac:dyDescent="0.2">
      <c r="B197" s="440"/>
    </row>
    <row r="198" spans="2:2" x14ac:dyDescent="0.2">
      <c r="B198" s="440"/>
    </row>
    <row r="199" spans="2:2" x14ac:dyDescent="0.2">
      <c r="B199" s="440"/>
    </row>
    <row r="200" spans="2:2" x14ac:dyDescent="0.2">
      <c r="B200" s="440"/>
    </row>
    <row r="201" spans="2:2" x14ac:dyDescent="0.2">
      <c r="B201" s="440"/>
    </row>
    <row r="202" spans="2:2" x14ac:dyDescent="0.2">
      <c r="B202" s="440"/>
    </row>
    <row r="203" spans="2:2" x14ac:dyDescent="0.2">
      <c r="B203" s="440"/>
    </row>
    <row r="204" spans="2:2" x14ac:dyDescent="0.2">
      <c r="B204" s="440"/>
    </row>
  </sheetData>
  <mergeCells count="16">
    <mergeCell ref="I99:J99"/>
    <mergeCell ref="B2:J2"/>
    <mergeCell ref="I4:J4"/>
    <mergeCell ref="B5:J5"/>
    <mergeCell ref="B7:B9"/>
    <mergeCell ref="C7:C9"/>
    <mergeCell ref="D7:D9"/>
    <mergeCell ref="E7:E9"/>
    <mergeCell ref="F7:F9"/>
    <mergeCell ref="G7:G9"/>
    <mergeCell ref="H7:H9"/>
    <mergeCell ref="I7:J8"/>
    <mergeCell ref="B94:J94"/>
    <mergeCell ref="I95:J95"/>
    <mergeCell ref="B96:J96"/>
    <mergeCell ref="I98:J98"/>
  </mergeCells>
  <pageMargins left="0.86" right="0.75" top="1" bottom="1" header="0" footer="0"/>
  <pageSetup paperSize="9" scale="84" fitToHeight="0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172"/>
  <sheetViews>
    <sheetView zoomScaleNormal="100" workbookViewId="0">
      <selection activeCell="L28" sqref="L28"/>
    </sheetView>
  </sheetViews>
  <sheetFormatPr defaultColWidth="9.140625" defaultRowHeight="12" x14ac:dyDescent="0.2"/>
  <cols>
    <col min="1" max="1" width="9.140625" style="161"/>
    <col min="2" max="2" width="13.28515625" style="161" customWidth="1"/>
    <col min="3" max="3" width="8" style="440" customWidth="1"/>
    <col min="4" max="4" width="9.85546875" style="161" customWidth="1"/>
    <col min="5" max="5" width="8.5703125" style="161" customWidth="1"/>
    <col min="6" max="6" width="9.42578125" style="161" customWidth="1"/>
    <col min="7" max="7" width="10.5703125" style="161" customWidth="1"/>
    <col min="8" max="8" width="10.8554687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21" s="175" customFormat="1" ht="15.75" x14ac:dyDescent="0.25">
      <c r="B2" s="961" t="s">
        <v>175</v>
      </c>
      <c r="C2" s="961"/>
      <c r="D2" s="961"/>
      <c r="E2" s="961"/>
      <c r="F2" s="961"/>
      <c r="G2" s="961"/>
      <c r="H2" s="961"/>
      <c r="I2" s="961"/>
      <c r="J2" s="961"/>
    </row>
    <row r="3" spans="2:21" s="175" customFormat="1" ht="15.75" x14ac:dyDescent="0.25">
      <c r="B3" s="961" t="s">
        <v>171</v>
      </c>
      <c r="C3" s="961"/>
      <c r="D3" s="961"/>
      <c r="E3" s="961"/>
      <c r="F3" s="961"/>
      <c r="G3" s="961"/>
      <c r="H3" s="961"/>
      <c r="I3" s="961"/>
      <c r="J3" s="961"/>
    </row>
    <row r="4" spans="2:21" s="175" customFormat="1" ht="15.75" x14ac:dyDescent="0.25">
      <c r="B4" s="174"/>
      <c r="C4" s="450"/>
      <c r="I4" s="982" t="s">
        <v>283</v>
      </c>
      <c r="J4" s="982"/>
    </row>
    <row r="5" spans="2:21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21" x14ac:dyDescent="0.2">
      <c r="B6" s="423"/>
    </row>
    <row r="7" spans="2:21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21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21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21" s="425" customFormat="1" ht="11.25" x14ac:dyDescent="0.2">
      <c r="B10" s="190">
        <v>1</v>
      </c>
      <c r="C10" s="163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21" x14ac:dyDescent="0.2">
      <c r="B11" s="441" t="s">
        <v>151</v>
      </c>
      <c r="C11" s="484"/>
      <c r="D11" s="442"/>
      <c r="E11" s="442"/>
      <c r="F11" s="442"/>
      <c r="G11" s="442"/>
      <c r="H11" s="442"/>
      <c r="I11" s="442"/>
      <c r="J11" s="429"/>
    </row>
    <row r="12" spans="2:21" ht="12.75" x14ac:dyDescent="0.2">
      <c r="B12" s="430" t="s">
        <v>88</v>
      </c>
      <c r="C12" s="443">
        <v>1</v>
      </c>
      <c r="D12" s="423">
        <v>20242</v>
      </c>
      <c r="E12" s="423">
        <v>591</v>
      </c>
      <c r="F12" s="423">
        <v>711</v>
      </c>
      <c r="G12" s="423">
        <v>921</v>
      </c>
      <c r="H12" s="423">
        <v>0</v>
      </c>
      <c r="I12" s="423">
        <v>1</v>
      </c>
      <c r="J12" s="431">
        <v>1</v>
      </c>
      <c r="U12" s="376"/>
    </row>
    <row r="13" spans="2:21" ht="12.75" x14ac:dyDescent="0.2">
      <c r="B13" s="430" t="s">
        <v>179</v>
      </c>
      <c r="C13" s="443">
        <v>0</v>
      </c>
      <c r="D13" s="423">
        <v>0</v>
      </c>
      <c r="E13" s="423">
        <v>0</v>
      </c>
      <c r="F13" s="423">
        <v>0</v>
      </c>
      <c r="G13" s="423">
        <v>0</v>
      </c>
      <c r="H13" s="423">
        <v>0</v>
      </c>
      <c r="I13" s="423">
        <v>0</v>
      </c>
      <c r="J13" s="431">
        <v>0</v>
      </c>
      <c r="U13" s="376"/>
    </row>
    <row r="14" spans="2:21" ht="12.75" x14ac:dyDescent="0.2">
      <c r="B14" s="430" t="s">
        <v>89</v>
      </c>
      <c r="C14" s="443">
        <v>1</v>
      </c>
      <c r="D14" s="423">
        <v>6880</v>
      </c>
      <c r="E14" s="423">
        <v>167</v>
      </c>
      <c r="F14" s="423">
        <v>36</v>
      </c>
      <c r="G14" s="423">
        <v>54</v>
      </c>
      <c r="H14" s="423">
        <v>0</v>
      </c>
      <c r="I14" s="423">
        <v>0</v>
      </c>
      <c r="J14" s="431">
        <v>0</v>
      </c>
      <c r="U14" s="376"/>
    </row>
    <row r="15" spans="2:21" x14ac:dyDescent="0.2">
      <c r="B15" s="430" t="s">
        <v>180</v>
      </c>
      <c r="C15" s="443">
        <v>0</v>
      </c>
      <c r="D15" s="423">
        <v>0</v>
      </c>
      <c r="E15" s="423">
        <v>0</v>
      </c>
      <c r="F15" s="423">
        <v>0</v>
      </c>
      <c r="G15" s="423">
        <v>0</v>
      </c>
      <c r="H15" s="423">
        <v>0</v>
      </c>
      <c r="I15" s="423">
        <v>0</v>
      </c>
      <c r="J15" s="431">
        <v>0</v>
      </c>
    </row>
    <row r="16" spans="2:21" x14ac:dyDescent="0.2">
      <c r="B16" s="430" t="s">
        <v>181</v>
      </c>
      <c r="C16" s="443">
        <v>1</v>
      </c>
      <c r="D16" s="423">
        <v>3502</v>
      </c>
      <c r="E16" s="423">
        <v>28</v>
      </c>
      <c r="F16" s="423">
        <v>0</v>
      </c>
      <c r="G16" s="423">
        <v>0</v>
      </c>
      <c r="H16" s="423">
        <v>1</v>
      </c>
      <c r="I16" s="423">
        <v>1</v>
      </c>
      <c r="J16" s="431">
        <v>1</v>
      </c>
    </row>
    <row r="17" spans="1:10" ht="14.25" customHeight="1" x14ac:dyDescent="0.2">
      <c r="B17" s="434" t="s">
        <v>22</v>
      </c>
      <c r="C17" s="434">
        <f t="shared" ref="C17:J17" si="0">SUM(C12:C16)</f>
        <v>3</v>
      </c>
      <c r="D17" s="434">
        <f t="shared" si="0"/>
        <v>30624</v>
      </c>
      <c r="E17" s="434">
        <f t="shared" si="0"/>
        <v>786</v>
      </c>
      <c r="F17" s="434">
        <f t="shared" si="0"/>
        <v>747</v>
      </c>
      <c r="G17" s="434">
        <f t="shared" si="0"/>
        <v>975</v>
      </c>
      <c r="H17" s="434">
        <f t="shared" si="0"/>
        <v>1</v>
      </c>
      <c r="I17" s="434">
        <f t="shared" si="0"/>
        <v>2</v>
      </c>
      <c r="J17" s="434">
        <f t="shared" si="0"/>
        <v>2</v>
      </c>
    </row>
    <row r="18" spans="1:10" x14ac:dyDescent="0.2">
      <c r="B18" s="428" t="s">
        <v>152</v>
      </c>
      <c r="C18" s="443"/>
      <c r="D18" s="423"/>
      <c r="E18" s="423"/>
      <c r="F18" s="423"/>
      <c r="G18" s="423"/>
      <c r="H18" s="423"/>
      <c r="I18" s="423"/>
      <c r="J18" s="431"/>
    </row>
    <row r="19" spans="1:10" x14ac:dyDescent="0.2">
      <c r="B19" s="430" t="s">
        <v>91</v>
      </c>
      <c r="C19" s="44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1:10" x14ac:dyDescent="0.2">
      <c r="B20" s="430" t="s">
        <v>182</v>
      </c>
      <c r="C20" s="443">
        <v>1</v>
      </c>
      <c r="D20" s="423">
        <v>6533</v>
      </c>
      <c r="E20" s="423">
        <v>109</v>
      </c>
      <c r="F20" s="423">
        <v>300</v>
      </c>
      <c r="G20" s="423">
        <v>188</v>
      </c>
      <c r="H20" s="423">
        <v>1</v>
      </c>
      <c r="I20" s="423">
        <v>1</v>
      </c>
      <c r="J20" s="431">
        <v>1</v>
      </c>
    </row>
    <row r="21" spans="1:10" x14ac:dyDescent="0.2">
      <c r="B21" s="430" t="s">
        <v>183</v>
      </c>
      <c r="C21" s="443">
        <v>1</v>
      </c>
      <c r="D21" s="423">
        <v>5343</v>
      </c>
      <c r="E21" s="423">
        <v>76</v>
      </c>
      <c r="F21" s="423">
        <v>6400</v>
      </c>
      <c r="G21" s="423">
        <v>16000</v>
      </c>
      <c r="H21" s="423">
        <v>1</v>
      </c>
      <c r="I21" s="423">
        <v>1</v>
      </c>
      <c r="J21" s="431">
        <v>1</v>
      </c>
    </row>
    <row r="22" spans="1:10" x14ac:dyDescent="0.2">
      <c r="B22" s="430" t="s">
        <v>92</v>
      </c>
      <c r="C22" s="443">
        <v>2</v>
      </c>
      <c r="D22" s="423">
        <v>9672</v>
      </c>
      <c r="E22" s="423">
        <v>1054</v>
      </c>
      <c r="F22" s="423">
        <v>3290</v>
      </c>
      <c r="G22" s="423">
        <v>2508</v>
      </c>
      <c r="H22" s="423">
        <v>2</v>
      </c>
      <c r="I22" s="423">
        <v>2</v>
      </c>
      <c r="J22" s="431">
        <v>2</v>
      </c>
    </row>
    <row r="23" spans="1:10" x14ac:dyDescent="0.2">
      <c r="B23" s="430" t="s">
        <v>184</v>
      </c>
      <c r="C23" s="443">
        <v>1</v>
      </c>
      <c r="D23" s="423">
        <v>1298</v>
      </c>
      <c r="E23" s="423">
        <v>20</v>
      </c>
      <c r="F23" s="423">
        <v>0</v>
      </c>
      <c r="G23" s="423">
        <v>66</v>
      </c>
      <c r="H23" s="423">
        <v>0</v>
      </c>
      <c r="I23" s="423">
        <v>0</v>
      </c>
      <c r="J23" s="431">
        <v>0</v>
      </c>
    </row>
    <row r="24" spans="1:10" x14ac:dyDescent="0.2">
      <c r="B24" s="430" t="s">
        <v>185</v>
      </c>
      <c r="C24" s="443">
        <v>1</v>
      </c>
      <c r="D24" s="423">
        <v>8946</v>
      </c>
      <c r="E24" s="423">
        <v>420</v>
      </c>
      <c r="F24" s="423">
        <v>3618</v>
      </c>
      <c r="G24" s="423">
        <v>6721</v>
      </c>
      <c r="H24" s="423">
        <v>1</v>
      </c>
      <c r="I24" s="423">
        <v>1</v>
      </c>
      <c r="J24" s="431">
        <v>1</v>
      </c>
    </row>
    <row r="25" spans="1:10" x14ac:dyDescent="0.2">
      <c r="B25" s="430" t="s">
        <v>186</v>
      </c>
      <c r="C25" s="443">
        <v>1</v>
      </c>
      <c r="D25" s="423">
        <v>747</v>
      </c>
      <c r="E25" s="423">
        <v>111</v>
      </c>
      <c r="F25" s="423">
        <v>612</v>
      </c>
      <c r="G25" s="423">
        <v>522</v>
      </c>
      <c r="H25" s="423">
        <v>1</v>
      </c>
      <c r="I25" s="423">
        <v>1</v>
      </c>
      <c r="J25" s="431">
        <v>1</v>
      </c>
    </row>
    <row r="26" spans="1:10" x14ac:dyDescent="0.2">
      <c r="B26" s="430" t="s">
        <v>187</v>
      </c>
      <c r="C26" s="443">
        <v>1</v>
      </c>
      <c r="D26" s="423">
        <v>6357</v>
      </c>
      <c r="E26" s="423">
        <v>226</v>
      </c>
      <c r="F26" s="423">
        <v>356</v>
      </c>
      <c r="G26" s="423">
        <v>421</v>
      </c>
      <c r="H26" s="423">
        <v>1</v>
      </c>
      <c r="I26" s="423">
        <v>1</v>
      </c>
      <c r="J26" s="431">
        <v>1</v>
      </c>
    </row>
    <row r="27" spans="1:10" ht="14.25" customHeight="1" x14ac:dyDescent="0.2">
      <c r="B27" s="434" t="s">
        <v>22</v>
      </c>
      <c r="C27" s="434">
        <f>SUM(C19:C26)</f>
        <v>8</v>
      </c>
      <c r="D27" s="434">
        <f t="shared" ref="D27:J27" si="1">SUM(D19:D26)</f>
        <v>38896</v>
      </c>
      <c r="E27" s="434">
        <f t="shared" si="1"/>
        <v>2016</v>
      </c>
      <c r="F27" s="434">
        <f t="shared" si="1"/>
        <v>14576</v>
      </c>
      <c r="G27" s="434">
        <f t="shared" si="1"/>
        <v>26426</v>
      </c>
      <c r="H27" s="434">
        <f t="shared" si="1"/>
        <v>7</v>
      </c>
      <c r="I27" s="434">
        <f t="shared" si="1"/>
        <v>7</v>
      </c>
      <c r="J27" s="434">
        <f t="shared" si="1"/>
        <v>7</v>
      </c>
    </row>
    <row r="28" spans="1:10" x14ac:dyDescent="0.2">
      <c r="A28" s="440"/>
      <c r="B28" s="428" t="s">
        <v>153</v>
      </c>
      <c r="C28" s="443"/>
      <c r="D28" s="423"/>
      <c r="E28" s="423"/>
      <c r="F28" s="423"/>
      <c r="G28" s="423"/>
      <c r="H28" s="423"/>
      <c r="I28" s="423"/>
      <c r="J28" s="431"/>
    </row>
    <row r="29" spans="1:10" x14ac:dyDescent="0.2">
      <c r="B29" s="430" t="s">
        <v>94</v>
      </c>
      <c r="C29" s="443">
        <v>3</v>
      </c>
      <c r="D29" s="423">
        <v>41390</v>
      </c>
      <c r="E29" s="423">
        <v>648</v>
      </c>
      <c r="F29" s="423">
        <v>6138</v>
      </c>
      <c r="G29" s="423">
        <v>3537</v>
      </c>
      <c r="H29" s="423">
        <v>4</v>
      </c>
      <c r="I29" s="423">
        <v>3</v>
      </c>
      <c r="J29" s="431">
        <v>3</v>
      </c>
    </row>
    <row r="30" spans="1:10" x14ac:dyDescent="0.2">
      <c r="B30" s="430" t="s">
        <v>188</v>
      </c>
      <c r="C30" s="443">
        <v>1</v>
      </c>
      <c r="D30" s="423">
        <v>7294</v>
      </c>
      <c r="E30" s="423">
        <v>267</v>
      </c>
      <c r="F30" s="423">
        <v>7197</v>
      </c>
      <c r="G30" s="423">
        <v>2890</v>
      </c>
      <c r="H30" s="423">
        <v>1</v>
      </c>
      <c r="I30" s="423">
        <v>1</v>
      </c>
      <c r="J30" s="431">
        <v>1</v>
      </c>
    </row>
    <row r="31" spans="1:10" x14ac:dyDescent="0.2">
      <c r="B31" s="430" t="s">
        <v>189</v>
      </c>
      <c r="C31" s="443">
        <v>1</v>
      </c>
      <c r="D31" s="423">
        <v>7235</v>
      </c>
      <c r="E31" s="423">
        <v>409</v>
      </c>
      <c r="F31" s="423">
        <v>6502</v>
      </c>
      <c r="G31" s="423">
        <v>6317</v>
      </c>
      <c r="H31" s="423">
        <v>1</v>
      </c>
      <c r="I31" s="423">
        <v>1</v>
      </c>
      <c r="J31" s="431">
        <v>1</v>
      </c>
    </row>
    <row r="32" spans="1:10" x14ac:dyDescent="0.2">
      <c r="B32" s="430" t="s">
        <v>95</v>
      </c>
      <c r="C32" s="443">
        <v>0</v>
      </c>
      <c r="D32" s="423">
        <v>0</v>
      </c>
      <c r="E32" s="423">
        <v>0</v>
      </c>
      <c r="F32" s="423">
        <v>0</v>
      </c>
      <c r="G32" s="423">
        <v>0</v>
      </c>
      <c r="H32" s="423">
        <v>0</v>
      </c>
      <c r="I32" s="423">
        <v>0</v>
      </c>
      <c r="J32" s="431">
        <v>0</v>
      </c>
    </row>
    <row r="33" spans="2:10" x14ac:dyDescent="0.2">
      <c r="B33" s="430" t="s">
        <v>96</v>
      </c>
      <c r="C33" s="443">
        <v>1</v>
      </c>
      <c r="D33" s="423">
        <v>14419</v>
      </c>
      <c r="E33" s="423">
        <v>183</v>
      </c>
      <c r="F33" s="423">
        <v>841</v>
      </c>
      <c r="G33" s="423">
        <v>1483</v>
      </c>
      <c r="H33" s="423">
        <v>1</v>
      </c>
      <c r="I33" s="423">
        <v>1</v>
      </c>
      <c r="J33" s="431">
        <v>1</v>
      </c>
    </row>
    <row r="34" spans="2:10" x14ac:dyDescent="0.2">
      <c r="B34" s="430" t="s">
        <v>190</v>
      </c>
      <c r="C34" s="443">
        <v>1</v>
      </c>
      <c r="D34" s="423">
        <v>238</v>
      </c>
      <c r="E34" s="423">
        <v>0</v>
      </c>
      <c r="F34" s="423">
        <v>0</v>
      </c>
      <c r="G34" s="423">
        <v>0</v>
      </c>
      <c r="H34" s="423">
        <v>0</v>
      </c>
      <c r="I34" s="423">
        <v>0</v>
      </c>
      <c r="J34" s="431">
        <v>0</v>
      </c>
    </row>
    <row r="35" spans="2:10" x14ac:dyDescent="0.2">
      <c r="B35" s="430" t="s">
        <v>191</v>
      </c>
      <c r="C35" s="443">
        <v>1</v>
      </c>
      <c r="D35" s="423">
        <v>14770</v>
      </c>
      <c r="E35" s="423">
        <v>196</v>
      </c>
      <c r="F35" s="423">
        <v>252</v>
      </c>
      <c r="G35" s="423">
        <v>468</v>
      </c>
      <c r="H35" s="423">
        <v>1</v>
      </c>
      <c r="I35" s="423">
        <v>1</v>
      </c>
      <c r="J35" s="431">
        <v>1</v>
      </c>
    </row>
    <row r="36" spans="2:10" ht="14.25" customHeight="1" x14ac:dyDescent="0.2">
      <c r="B36" s="434" t="s">
        <v>22</v>
      </c>
      <c r="C36" s="434">
        <f>SUM(C29:C35)</f>
        <v>8</v>
      </c>
      <c r="D36" s="434">
        <f t="shared" ref="D36:J36" si="2">SUM(D29:D35)</f>
        <v>85346</v>
      </c>
      <c r="E36" s="434">
        <f t="shared" si="2"/>
        <v>1703</v>
      </c>
      <c r="F36" s="434">
        <f t="shared" si="2"/>
        <v>20930</v>
      </c>
      <c r="G36" s="434">
        <f t="shared" si="2"/>
        <v>14695</v>
      </c>
      <c r="H36" s="434">
        <f t="shared" si="2"/>
        <v>8</v>
      </c>
      <c r="I36" s="434">
        <f t="shared" si="2"/>
        <v>7</v>
      </c>
      <c r="J36" s="434">
        <f t="shared" si="2"/>
        <v>7</v>
      </c>
    </row>
    <row r="37" spans="2:10" x14ac:dyDescent="0.2">
      <c r="B37" s="428" t="s">
        <v>97</v>
      </c>
      <c r="C37" s="443"/>
      <c r="D37" s="423"/>
      <c r="E37" s="423"/>
      <c r="F37" s="423"/>
      <c r="G37" s="423"/>
      <c r="H37" s="423"/>
      <c r="I37" s="423"/>
      <c r="J37" s="431"/>
    </row>
    <row r="38" spans="2:10" x14ac:dyDescent="0.2">
      <c r="B38" s="430" t="s">
        <v>98</v>
      </c>
      <c r="C38" s="443">
        <v>0</v>
      </c>
      <c r="D38" s="423">
        <v>0</v>
      </c>
      <c r="E38" s="423">
        <v>0</v>
      </c>
      <c r="F38" s="423">
        <v>0</v>
      </c>
      <c r="G38" s="423">
        <v>0</v>
      </c>
      <c r="H38" s="423">
        <v>0</v>
      </c>
      <c r="I38" s="423">
        <v>0</v>
      </c>
      <c r="J38" s="431">
        <v>0</v>
      </c>
    </row>
    <row r="39" spans="2:10" x14ac:dyDescent="0.2">
      <c r="B39" s="430" t="s">
        <v>99</v>
      </c>
      <c r="C39" s="443">
        <v>0</v>
      </c>
      <c r="D39" s="423">
        <v>0</v>
      </c>
      <c r="E39" s="423">
        <v>0</v>
      </c>
      <c r="F39" s="423">
        <v>0</v>
      </c>
      <c r="G39" s="423">
        <v>0</v>
      </c>
      <c r="H39" s="423">
        <v>0</v>
      </c>
      <c r="I39" s="423">
        <v>0</v>
      </c>
      <c r="J39" s="431">
        <v>0</v>
      </c>
    </row>
    <row r="40" spans="2:10" x14ac:dyDescent="0.2">
      <c r="B40" s="430" t="s">
        <v>100</v>
      </c>
      <c r="C40" s="443">
        <v>1</v>
      </c>
      <c r="D40" s="423">
        <v>12672</v>
      </c>
      <c r="E40" s="423">
        <v>170</v>
      </c>
      <c r="F40" s="423">
        <v>988</v>
      </c>
      <c r="G40" s="423">
        <v>3088</v>
      </c>
      <c r="H40" s="423">
        <v>1</v>
      </c>
      <c r="I40" s="423">
        <v>1</v>
      </c>
      <c r="J40" s="431">
        <v>1</v>
      </c>
    </row>
    <row r="41" spans="2:10" x14ac:dyDescent="0.2">
      <c r="B41" s="430" t="s">
        <v>192</v>
      </c>
      <c r="C41" s="443">
        <v>1</v>
      </c>
      <c r="D41" s="423">
        <v>823</v>
      </c>
      <c r="E41" s="423">
        <v>280</v>
      </c>
      <c r="F41" s="423">
        <v>500</v>
      </c>
      <c r="G41" s="423">
        <v>300</v>
      </c>
      <c r="H41" s="423">
        <v>0</v>
      </c>
      <c r="I41" s="423">
        <v>0</v>
      </c>
      <c r="J41" s="431">
        <v>0</v>
      </c>
    </row>
    <row r="42" spans="2:10" x14ac:dyDescent="0.2">
      <c r="B42" s="430" t="s">
        <v>193</v>
      </c>
      <c r="C42" s="443">
        <v>1</v>
      </c>
      <c r="D42" s="423">
        <v>3375</v>
      </c>
      <c r="E42" s="423">
        <v>46</v>
      </c>
      <c r="F42" s="423">
        <v>971</v>
      </c>
      <c r="G42" s="423">
        <v>460</v>
      </c>
      <c r="H42" s="423">
        <v>1</v>
      </c>
      <c r="I42" s="423">
        <v>1</v>
      </c>
      <c r="J42" s="433">
        <v>1</v>
      </c>
    </row>
    <row r="43" spans="2:10" ht="14.25" customHeight="1" x14ac:dyDescent="0.2">
      <c r="B43" s="434" t="s">
        <v>22</v>
      </c>
      <c r="C43" s="434">
        <f>SUM(C38:C42)</f>
        <v>3</v>
      </c>
      <c r="D43" s="434">
        <f t="shared" ref="D43:J43" si="3">SUM(D38:D42)</f>
        <v>16870</v>
      </c>
      <c r="E43" s="434">
        <f t="shared" si="3"/>
        <v>496</v>
      </c>
      <c r="F43" s="434">
        <f t="shared" si="3"/>
        <v>2459</v>
      </c>
      <c r="G43" s="434">
        <f t="shared" si="3"/>
        <v>3848</v>
      </c>
      <c r="H43" s="434">
        <f t="shared" si="3"/>
        <v>2</v>
      </c>
      <c r="I43" s="434">
        <f t="shared" si="3"/>
        <v>2</v>
      </c>
      <c r="J43" s="434">
        <f t="shared" si="3"/>
        <v>2</v>
      </c>
    </row>
    <row r="44" spans="2:10" x14ac:dyDescent="0.2">
      <c r="B44" s="428" t="s">
        <v>154</v>
      </c>
      <c r="C44" s="443"/>
      <c r="D44" s="423"/>
      <c r="E44" s="423"/>
      <c r="F44" s="423"/>
      <c r="G44" s="423"/>
      <c r="H44" s="423"/>
      <c r="I44" s="423"/>
      <c r="J44" s="431"/>
    </row>
    <row r="45" spans="2:10" x14ac:dyDescent="0.2">
      <c r="B45" s="430" t="s">
        <v>194</v>
      </c>
      <c r="C45" s="443">
        <v>1</v>
      </c>
      <c r="D45" s="423">
        <v>7392</v>
      </c>
      <c r="E45" s="423">
        <v>170</v>
      </c>
      <c r="F45" s="423">
        <v>367</v>
      </c>
      <c r="G45" s="423">
        <v>699</v>
      </c>
      <c r="H45" s="423">
        <v>1</v>
      </c>
      <c r="I45" s="423">
        <v>0</v>
      </c>
      <c r="J45" s="431">
        <v>0</v>
      </c>
    </row>
    <row r="46" spans="2:10" x14ac:dyDescent="0.2">
      <c r="B46" s="430" t="s">
        <v>195</v>
      </c>
      <c r="C46" s="443">
        <v>1</v>
      </c>
      <c r="D46" s="423">
        <v>5799</v>
      </c>
      <c r="E46" s="423">
        <v>190</v>
      </c>
      <c r="F46" s="423">
        <v>121</v>
      </c>
      <c r="G46" s="423">
        <v>121</v>
      </c>
      <c r="H46" s="423">
        <v>1</v>
      </c>
      <c r="I46" s="423">
        <v>0</v>
      </c>
      <c r="J46" s="431">
        <v>0</v>
      </c>
    </row>
    <row r="47" spans="2:10" x14ac:dyDescent="0.2">
      <c r="B47" s="430" t="s">
        <v>102</v>
      </c>
      <c r="C47" s="443">
        <v>1</v>
      </c>
      <c r="D47" s="423">
        <v>14674</v>
      </c>
      <c r="E47" s="161">
        <v>660</v>
      </c>
      <c r="F47" s="423">
        <v>9135</v>
      </c>
      <c r="G47" s="423">
        <v>5470</v>
      </c>
      <c r="H47" s="423">
        <v>1</v>
      </c>
      <c r="I47" s="423">
        <v>1</v>
      </c>
      <c r="J47" s="431">
        <v>1</v>
      </c>
    </row>
    <row r="48" spans="2:10" x14ac:dyDescent="0.2">
      <c r="B48" s="430" t="s">
        <v>196</v>
      </c>
      <c r="C48" s="443">
        <v>0</v>
      </c>
      <c r="D48" s="423">
        <v>0</v>
      </c>
      <c r="E48" s="423">
        <v>0</v>
      </c>
      <c r="F48" s="423">
        <v>0</v>
      </c>
      <c r="G48" s="423">
        <v>0</v>
      </c>
      <c r="H48" s="423">
        <v>0</v>
      </c>
      <c r="I48" s="423">
        <v>0</v>
      </c>
      <c r="J48" s="431">
        <v>0</v>
      </c>
    </row>
    <row r="49" spans="2:10" x14ac:dyDescent="0.2">
      <c r="B49" s="430" t="s">
        <v>197</v>
      </c>
      <c r="C49" s="443">
        <v>1</v>
      </c>
      <c r="D49" s="423">
        <v>5908</v>
      </c>
      <c r="E49" s="423">
        <v>20</v>
      </c>
      <c r="F49" s="423">
        <v>0</v>
      </c>
      <c r="G49" s="423">
        <v>20</v>
      </c>
      <c r="H49" s="423">
        <v>0</v>
      </c>
      <c r="I49" s="423">
        <v>1</v>
      </c>
      <c r="J49" s="431">
        <v>1</v>
      </c>
    </row>
    <row r="50" spans="2:10" x14ac:dyDescent="0.2">
      <c r="B50" s="430" t="s">
        <v>198</v>
      </c>
      <c r="C50" s="443">
        <v>1</v>
      </c>
      <c r="D50" s="423">
        <v>6928</v>
      </c>
      <c r="E50" s="423">
        <v>28</v>
      </c>
      <c r="F50" s="423">
        <v>89</v>
      </c>
      <c r="G50" s="423">
        <v>64</v>
      </c>
      <c r="H50" s="423">
        <v>1</v>
      </c>
      <c r="I50" s="423">
        <v>1</v>
      </c>
      <c r="J50" s="431">
        <v>1</v>
      </c>
    </row>
    <row r="51" spans="2:10" ht="15" customHeight="1" x14ac:dyDescent="0.2">
      <c r="B51" s="434" t="s">
        <v>22</v>
      </c>
      <c r="C51" s="434">
        <f>SUM(C45:C50)</f>
        <v>5</v>
      </c>
      <c r="D51" s="434">
        <f t="shared" ref="D51:J51" si="4">SUM(D45:D50)</f>
        <v>40701</v>
      </c>
      <c r="E51" s="434">
        <f t="shared" si="4"/>
        <v>1068</v>
      </c>
      <c r="F51" s="434">
        <f t="shared" si="4"/>
        <v>9712</v>
      </c>
      <c r="G51" s="434">
        <f t="shared" si="4"/>
        <v>6374</v>
      </c>
      <c r="H51" s="434">
        <f t="shared" si="4"/>
        <v>4</v>
      </c>
      <c r="I51" s="434">
        <f t="shared" si="4"/>
        <v>3</v>
      </c>
      <c r="J51" s="434">
        <f t="shared" si="4"/>
        <v>3</v>
      </c>
    </row>
    <row r="54" spans="2:10" x14ac:dyDescent="0.2">
      <c r="B54" s="423"/>
      <c r="C54" s="443"/>
      <c r="D54" s="423"/>
      <c r="E54" s="423"/>
      <c r="F54" s="423"/>
      <c r="G54" s="423"/>
      <c r="H54" s="423"/>
      <c r="I54" s="423"/>
      <c r="J54" s="423"/>
    </row>
    <row r="55" spans="2:10" x14ac:dyDescent="0.2">
      <c r="B55" s="423"/>
      <c r="C55" s="443"/>
      <c r="D55" s="423"/>
      <c r="E55" s="423"/>
      <c r="F55" s="423"/>
      <c r="G55" s="423"/>
      <c r="H55" s="423"/>
      <c r="I55" s="423"/>
      <c r="J55" s="423"/>
    </row>
    <row r="56" spans="2:10" x14ac:dyDescent="0.2">
      <c r="B56" s="423"/>
      <c r="C56" s="443"/>
      <c r="D56" s="423"/>
      <c r="E56" s="423"/>
      <c r="F56" s="423"/>
      <c r="G56" s="423"/>
      <c r="H56" s="423"/>
      <c r="I56" s="423"/>
      <c r="J56" s="423"/>
    </row>
    <row r="57" spans="2:10" x14ac:dyDescent="0.2">
      <c r="B57" s="423"/>
      <c r="C57" s="443"/>
      <c r="D57" s="423"/>
      <c r="E57" s="423"/>
      <c r="F57" s="423"/>
      <c r="G57" s="423"/>
      <c r="H57" s="423"/>
      <c r="I57" s="423"/>
      <c r="J57" s="423"/>
    </row>
    <row r="58" spans="2:10" x14ac:dyDescent="0.2">
      <c r="B58" s="423"/>
      <c r="C58" s="443"/>
      <c r="D58" s="423"/>
      <c r="E58" s="423"/>
      <c r="F58" s="423"/>
      <c r="G58" s="423"/>
      <c r="H58" s="423"/>
      <c r="I58" s="423"/>
      <c r="J58" s="423"/>
    </row>
    <row r="59" spans="2:10" x14ac:dyDescent="0.2">
      <c r="B59" s="423"/>
      <c r="C59" s="443"/>
      <c r="D59" s="423"/>
      <c r="E59" s="423"/>
      <c r="F59" s="423"/>
      <c r="G59" s="423"/>
      <c r="H59" s="423"/>
      <c r="I59" s="423"/>
      <c r="J59" s="423"/>
    </row>
    <row r="60" spans="2:10" x14ac:dyDescent="0.2">
      <c r="B60" s="423"/>
      <c r="C60" s="443"/>
      <c r="D60" s="423"/>
      <c r="E60" s="423"/>
      <c r="F60" s="423"/>
      <c r="G60" s="423"/>
      <c r="H60" s="423"/>
      <c r="I60" s="423"/>
      <c r="J60" s="423"/>
    </row>
    <row r="61" spans="2:10" x14ac:dyDescent="0.2">
      <c r="B61" s="443"/>
      <c r="C61" s="443"/>
      <c r="D61" s="423"/>
      <c r="E61" s="423"/>
      <c r="F61" s="423"/>
      <c r="G61" s="423"/>
      <c r="H61" s="423"/>
      <c r="I61" s="423"/>
      <c r="J61" s="423"/>
    </row>
    <row r="62" spans="2:10" s="175" customFormat="1" ht="15.75" x14ac:dyDescent="0.25">
      <c r="B62" s="1006"/>
      <c r="C62" s="1006"/>
      <c r="D62" s="1006"/>
      <c r="E62" s="1006"/>
      <c r="F62" s="1006"/>
      <c r="G62" s="1006"/>
      <c r="H62" s="1006"/>
      <c r="I62" s="1006"/>
      <c r="J62" s="1006"/>
    </row>
    <row r="63" spans="2:10" s="175" customFormat="1" ht="15.75" x14ac:dyDescent="0.25">
      <c r="B63" s="444"/>
      <c r="C63" s="451"/>
      <c r="D63" s="176"/>
      <c r="E63" s="176"/>
      <c r="F63" s="176"/>
      <c r="G63" s="176"/>
      <c r="H63" s="176"/>
      <c r="I63" s="1006"/>
      <c r="J63" s="1006"/>
    </row>
    <row r="64" spans="2:10" s="175" customFormat="1" ht="15.75" x14ac:dyDescent="0.25">
      <c r="B64" s="444"/>
      <c r="C64" s="451"/>
      <c r="D64" s="176"/>
      <c r="E64" s="176"/>
      <c r="F64" s="176"/>
      <c r="G64" s="176"/>
      <c r="H64" s="176"/>
      <c r="I64" s="557"/>
      <c r="J64" s="557"/>
    </row>
    <row r="65" spans="2:12" s="175" customFormat="1" ht="15.75" x14ac:dyDescent="0.25">
      <c r="B65" s="444"/>
      <c r="C65" s="451"/>
      <c r="D65" s="176"/>
      <c r="E65" s="176"/>
      <c r="F65" s="176"/>
      <c r="G65" s="176"/>
      <c r="H65" s="176"/>
      <c r="I65" s="557"/>
      <c r="J65" s="557"/>
    </row>
    <row r="66" spans="2:12" s="175" customFormat="1" ht="15.75" x14ac:dyDescent="0.25">
      <c r="B66" s="1008"/>
      <c r="C66" s="1008"/>
      <c r="D66" s="1008"/>
      <c r="E66" s="1008"/>
      <c r="F66" s="1008"/>
      <c r="G66" s="1008"/>
      <c r="H66" s="1008"/>
      <c r="I66" s="1008"/>
      <c r="J66" s="1008"/>
    </row>
    <row r="67" spans="2:12" s="425" customFormat="1" ht="11.25" x14ac:dyDescent="0.2">
      <c r="B67" s="968" t="s">
        <v>84</v>
      </c>
      <c r="C67" s="968" t="s">
        <v>85</v>
      </c>
      <c r="D67" s="968" t="s">
        <v>67</v>
      </c>
      <c r="E67" s="968" t="s">
        <v>68</v>
      </c>
      <c r="F67" s="968" t="s">
        <v>69</v>
      </c>
      <c r="G67" s="968" t="s">
        <v>70</v>
      </c>
      <c r="H67" s="968" t="s">
        <v>222</v>
      </c>
      <c r="I67" s="1001" t="s">
        <v>223</v>
      </c>
      <c r="J67" s="1002"/>
      <c r="K67" s="424"/>
      <c r="L67" s="424"/>
    </row>
    <row r="68" spans="2:12" s="425" customFormat="1" ht="11.25" x14ac:dyDescent="0.2">
      <c r="B68" s="969"/>
      <c r="C68" s="969"/>
      <c r="D68" s="969"/>
      <c r="E68" s="969"/>
      <c r="F68" s="969"/>
      <c r="G68" s="969"/>
      <c r="H68" s="969"/>
      <c r="I68" s="1003"/>
      <c r="J68" s="1004"/>
      <c r="K68" s="424"/>
      <c r="L68" s="424"/>
    </row>
    <row r="69" spans="2:12" s="425" customFormat="1" ht="11.25" x14ac:dyDescent="0.2">
      <c r="B69" s="970"/>
      <c r="C69" s="970"/>
      <c r="D69" s="970"/>
      <c r="E69" s="970"/>
      <c r="F69" s="970"/>
      <c r="G69" s="970"/>
      <c r="H69" s="970"/>
      <c r="I69" s="426" t="s">
        <v>73</v>
      </c>
      <c r="J69" s="427" t="s">
        <v>86</v>
      </c>
      <c r="K69" s="424"/>
      <c r="L69" s="424"/>
    </row>
    <row r="70" spans="2:12" x14ac:dyDescent="0.2">
      <c r="B70" s="435">
        <v>1</v>
      </c>
      <c r="C70" s="452">
        <v>2</v>
      </c>
      <c r="D70" s="436">
        <v>3</v>
      </c>
      <c r="E70" s="436">
        <v>4</v>
      </c>
      <c r="F70" s="436">
        <v>5</v>
      </c>
      <c r="G70" s="436">
        <v>6</v>
      </c>
      <c r="H70" s="436">
        <v>7</v>
      </c>
      <c r="I70" s="436">
        <v>8</v>
      </c>
      <c r="J70" s="436">
        <v>9</v>
      </c>
      <c r="K70" s="437"/>
      <c r="L70" s="437"/>
    </row>
    <row r="71" spans="2:12" x14ac:dyDescent="0.2">
      <c r="B71" s="428" t="s">
        <v>155</v>
      </c>
      <c r="C71" s="443"/>
      <c r="D71" s="423"/>
      <c r="E71" s="423"/>
      <c r="F71" s="423"/>
      <c r="G71" s="423"/>
      <c r="H71" s="423"/>
      <c r="I71" s="423"/>
      <c r="J71" s="429"/>
      <c r="K71" s="437"/>
      <c r="L71" s="437"/>
    </row>
    <row r="72" spans="2:12" x14ac:dyDescent="0.2">
      <c r="B72" s="430" t="s">
        <v>199</v>
      </c>
      <c r="C72" s="443">
        <v>0</v>
      </c>
      <c r="D72" s="423">
        <v>0</v>
      </c>
      <c r="E72" s="423">
        <v>0</v>
      </c>
      <c r="F72" s="423">
        <v>0</v>
      </c>
      <c r="G72" s="423">
        <v>0</v>
      </c>
      <c r="H72" s="423">
        <v>0</v>
      </c>
      <c r="I72" s="423">
        <v>0</v>
      </c>
      <c r="J72" s="431">
        <v>0</v>
      </c>
      <c r="K72" s="437"/>
      <c r="L72" s="437"/>
    </row>
    <row r="73" spans="2:12" x14ac:dyDescent="0.2">
      <c r="B73" s="430" t="s">
        <v>200</v>
      </c>
      <c r="C73" s="443">
        <v>0</v>
      </c>
      <c r="D73" s="423">
        <v>0</v>
      </c>
      <c r="E73" s="423">
        <v>0</v>
      </c>
      <c r="F73" s="423">
        <v>0</v>
      </c>
      <c r="G73" s="423">
        <v>0</v>
      </c>
      <c r="H73" s="423">
        <v>0</v>
      </c>
      <c r="I73" s="423">
        <v>0</v>
      </c>
      <c r="J73" s="431">
        <v>0</v>
      </c>
      <c r="K73" s="437"/>
      <c r="L73" s="437"/>
    </row>
    <row r="74" spans="2:12" x14ac:dyDescent="0.2">
      <c r="B74" s="430" t="s">
        <v>201</v>
      </c>
      <c r="C74" s="443">
        <v>1</v>
      </c>
      <c r="D74" s="423">
        <v>2971</v>
      </c>
      <c r="E74" s="423">
        <v>137</v>
      </c>
      <c r="F74" s="423">
        <v>350</v>
      </c>
      <c r="G74" s="423">
        <v>1350</v>
      </c>
      <c r="H74" s="423">
        <v>1</v>
      </c>
      <c r="I74" s="423">
        <v>1</v>
      </c>
      <c r="J74" s="431">
        <v>1</v>
      </c>
      <c r="K74" s="437"/>
      <c r="L74" s="437"/>
    </row>
    <row r="75" spans="2:12" x14ac:dyDescent="0.2">
      <c r="B75" s="430" t="s">
        <v>202</v>
      </c>
      <c r="C75" s="443">
        <v>0</v>
      </c>
      <c r="D75" s="423">
        <v>0</v>
      </c>
      <c r="E75" s="423">
        <v>0</v>
      </c>
      <c r="F75" s="423">
        <v>0</v>
      </c>
      <c r="G75" s="423">
        <v>0</v>
      </c>
      <c r="H75" s="423">
        <v>0</v>
      </c>
      <c r="I75" s="423">
        <v>0</v>
      </c>
      <c r="J75" s="431">
        <v>0</v>
      </c>
      <c r="K75" s="437"/>
      <c r="L75" s="437"/>
    </row>
    <row r="76" spans="2:12" x14ac:dyDescent="0.2">
      <c r="B76" s="430" t="s">
        <v>203</v>
      </c>
      <c r="C76" s="443">
        <v>1</v>
      </c>
      <c r="D76" s="423">
        <v>8938</v>
      </c>
      <c r="E76" s="423">
        <v>30</v>
      </c>
      <c r="F76" s="423">
        <v>129</v>
      </c>
      <c r="G76" s="423">
        <v>50</v>
      </c>
      <c r="H76" s="423">
        <v>1</v>
      </c>
      <c r="I76" s="423">
        <v>1</v>
      </c>
      <c r="J76" s="431">
        <v>1</v>
      </c>
      <c r="K76" s="437"/>
      <c r="L76" s="437"/>
    </row>
    <row r="77" spans="2:12" x14ac:dyDescent="0.2">
      <c r="B77" s="430" t="s">
        <v>104</v>
      </c>
      <c r="C77" s="443">
        <v>3</v>
      </c>
      <c r="D77" s="423">
        <v>11091</v>
      </c>
      <c r="E77" s="423">
        <v>848</v>
      </c>
      <c r="F77" s="423">
        <v>3500</v>
      </c>
      <c r="G77" s="423">
        <v>6717</v>
      </c>
      <c r="H77" s="423">
        <v>2</v>
      </c>
      <c r="I77" s="423">
        <v>2</v>
      </c>
      <c r="J77" s="431">
        <v>2</v>
      </c>
      <c r="K77" s="437"/>
      <c r="L77" s="437"/>
    </row>
    <row r="78" spans="2:12" x14ac:dyDescent="0.2">
      <c r="B78" s="430" t="s">
        <v>204</v>
      </c>
      <c r="C78" s="443">
        <v>0</v>
      </c>
      <c r="D78" s="423">
        <v>0</v>
      </c>
      <c r="E78" s="423">
        <v>0</v>
      </c>
      <c r="F78" s="423">
        <v>0</v>
      </c>
      <c r="G78" s="423">
        <v>0</v>
      </c>
      <c r="H78" s="423">
        <v>0</v>
      </c>
      <c r="I78" s="423">
        <v>0</v>
      </c>
      <c r="J78" s="433">
        <v>0</v>
      </c>
      <c r="K78" s="437"/>
      <c r="L78" s="437"/>
    </row>
    <row r="79" spans="2:12" ht="15" customHeight="1" x14ac:dyDescent="0.2">
      <c r="B79" s="434" t="s">
        <v>22</v>
      </c>
      <c r="C79" s="434">
        <f>SUM(C72:C78)</f>
        <v>5</v>
      </c>
      <c r="D79" s="434">
        <f t="shared" ref="D79:J79" si="5">SUM(D72:D78)</f>
        <v>23000</v>
      </c>
      <c r="E79" s="434">
        <f t="shared" si="5"/>
        <v>1015</v>
      </c>
      <c r="F79" s="434">
        <f t="shared" si="5"/>
        <v>3979</v>
      </c>
      <c r="G79" s="434">
        <f t="shared" si="5"/>
        <v>8117</v>
      </c>
      <c r="H79" s="434">
        <f t="shared" si="5"/>
        <v>4</v>
      </c>
      <c r="I79" s="434">
        <f t="shared" si="5"/>
        <v>4</v>
      </c>
      <c r="J79" s="434">
        <f t="shared" si="5"/>
        <v>4</v>
      </c>
      <c r="K79" s="437"/>
      <c r="L79" s="437"/>
    </row>
    <row r="80" spans="2:12" x14ac:dyDescent="0.2">
      <c r="B80" s="428" t="s">
        <v>156</v>
      </c>
      <c r="C80" s="443"/>
      <c r="D80" s="423"/>
      <c r="E80" s="423"/>
      <c r="F80" s="423"/>
      <c r="G80" s="423"/>
      <c r="H80" s="423"/>
      <c r="I80" s="423"/>
      <c r="J80" s="431"/>
    </row>
    <row r="81" spans="2:11" x14ac:dyDescent="0.2">
      <c r="B81" s="430" t="s">
        <v>205</v>
      </c>
      <c r="C81" s="443">
        <v>1</v>
      </c>
      <c r="D81" s="423">
        <v>10045</v>
      </c>
      <c r="E81" s="423">
        <v>33</v>
      </c>
      <c r="F81" s="423">
        <v>30</v>
      </c>
      <c r="G81" s="423">
        <v>0</v>
      </c>
      <c r="H81" s="423">
        <v>0</v>
      </c>
      <c r="I81" s="423">
        <v>1</v>
      </c>
      <c r="J81" s="431">
        <v>1</v>
      </c>
    </row>
    <row r="82" spans="2:11" x14ac:dyDescent="0.2">
      <c r="B82" s="430" t="s">
        <v>106</v>
      </c>
      <c r="C82" s="443">
        <v>0</v>
      </c>
      <c r="D82" s="423">
        <v>0</v>
      </c>
      <c r="E82" s="423">
        <v>0</v>
      </c>
      <c r="F82" s="423">
        <v>0</v>
      </c>
      <c r="G82" s="423">
        <v>0</v>
      </c>
      <c r="H82" s="423">
        <v>0</v>
      </c>
      <c r="I82" s="423">
        <v>0</v>
      </c>
      <c r="J82" s="431">
        <v>0</v>
      </c>
    </row>
    <row r="83" spans="2:11" x14ac:dyDescent="0.2">
      <c r="B83" s="430" t="s">
        <v>206</v>
      </c>
      <c r="C83" s="443">
        <v>1</v>
      </c>
      <c r="D83" s="423">
        <v>358</v>
      </c>
      <c r="E83" s="423">
        <v>57</v>
      </c>
      <c r="F83" s="423">
        <v>89</v>
      </c>
      <c r="G83" s="423">
        <v>59</v>
      </c>
      <c r="H83" s="423">
        <v>1</v>
      </c>
      <c r="I83" s="423">
        <v>0</v>
      </c>
      <c r="J83" s="431">
        <v>0</v>
      </c>
    </row>
    <row r="84" spans="2:11" x14ac:dyDescent="0.2">
      <c r="B84" s="430" t="s">
        <v>207</v>
      </c>
      <c r="C84" s="443">
        <v>1</v>
      </c>
      <c r="D84" s="423">
        <v>6996</v>
      </c>
      <c r="E84" s="423">
        <v>49</v>
      </c>
      <c r="F84" s="423">
        <v>0</v>
      </c>
      <c r="G84" s="423">
        <v>910</v>
      </c>
      <c r="H84" s="423">
        <v>0</v>
      </c>
      <c r="I84" s="423">
        <v>1</v>
      </c>
      <c r="J84" s="431">
        <v>1</v>
      </c>
    </row>
    <row r="85" spans="2:11" ht="14.25" customHeight="1" x14ac:dyDescent="0.2">
      <c r="B85" s="434" t="s">
        <v>22</v>
      </c>
      <c r="C85" s="434">
        <f>SUM(C81:C84)</f>
        <v>3</v>
      </c>
      <c r="D85" s="434">
        <f t="shared" ref="D85:J85" si="6">SUM(D81:D84)</f>
        <v>17399</v>
      </c>
      <c r="E85" s="434">
        <f t="shared" si="6"/>
        <v>139</v>
      </c>
      <c r="F85" s="434">
        <f t="shared" si="6"/>
        <v>119</v>
      </c>
      <c r="G85" s="434">
        <f t="shared" si="6"/>
        <v>969</v>
      </c>
      <c r="H85" s="434">
        <f t="shared" si="6"/>
        <v>1</v>
      </c>
      <c r="I85" s="434">
        <f t="shared" si="6"/>
        <v>2</v>
      </c>
      <c r="J85" s="434">
        <f t="shared" si="6"/>
        <v>2</v>
      </c>
    </row>
    <row r="86" spans="2:11" x14ac:dyDescent="0.2">
      <c r="B86" s="428" t="s">
        <v>157</v>
      </c>
      <c r="C86" s="443"/>
      <c r="D86" s="423"/>
      <c r="E86" s="423"/>
      <c r="F86" s="423"/>
      <c r="G86" s="423"/>
      <c r="H86" s="423"/>
      <c r="I86" s="423"/>
      <c r="J86" s="431"/>
    </row>
    <row r="87" spans="2:11" x14ac:dyDescent="0.2">
      <c r="B87" s="430" t="s">
        <v>208</v>
      </c>
      <c r="C87" s="443">
        <v>1</v>
      </c>
      <c r="D87" s="423">
        <v>8030</v>
      </c>
      <c r="E87" s="423">
        <v>142</v>
      </c>
      <c r="F87" s="423">
        <v>891</v>
      </c>
      <c r="G87" s="423">
        <v>1128</v>
      </c>
      <c r="H87" s="423">
        <v>1</v>
      </c>
      <c r="I87" s="423">
        <v>1</v>
      </c>
      <c r="J87" s="431">
        <v>1</v>
      </c>
    </row>
    <row r="88" spans="2:11" x14ac:dyDescent="0.2">
      <c r="B88" s="430" t="s">
        <v>209</v>
      </c>
      <c r="C88" s="443">
        <v>2</v>
      </c>
      <c r="D88" s="423">
        <v>17273</v>
      </c>
      <c r="E88" s="423">
        <v>607</v>
      </c>
      <c r="F88" s="423">
        <v>933</v>
      </c>
      <c r="G88" s="423">
        <v>4416</v>
      </c>
      <c r="H88" s="423">
        <v>1</v>
      </c>
      <c r="I88" s="423">
        <v>1</v>
      </c>
      <c r="J88" s="431">
        <v>1</v>
      </c>
    </row>
    <row r="89" spans="2:11" x14ac:dyDescent="0.2">
      <c r="B89" s="430" t="s">
        <v>108</v>
      </c>
      <c r="C89" s="443">
        <v>1</v>
      </c>
      <c r="D89" s="423">
        <v>3853</v>
      </c>
      <c r="E89" s="423">
        <v>34</v>
      </c>
      <c r="F89" s="423">
        <v>24</v>
      </c>
      <c r="G89" s="423">
        <v>20</v>
      </c>
      <c r="H89" s="423">
        <v>1</v>
      </c>
      <c r="I89" s="423">
        <v>0</v>
      </c>
      <c r="J89" s="431">
        <v>0</v>
      </c>
    </row>
    <row r="90" spans="2:11" x14ac:dyDescent="0.2">
      <c r="B90" s="430" t="s">
        <v>210</v>
      </c>
      <c r="C90" s="443">
        <v>1</v>
      </c>
      <c r="D90" s="423">
        <v>9725</v>
      </c>
      <c r="E90" s="423">
        <v>401</v>
      </c>
      <c r="F90" s="423">
        <v>171</v>
      </c>
      <c r="G90" s="423">
        <v>2724</v>
      </c>
      <c r="H90" s="423">
        <v>1</v>
      </c>
      <c r="I90" s="423">
        <v>1</v>
      </c>
      <c r="J90" s="431">
        <v>1</v>
      </c>
    </row>
    <row r="91" spans="2:11" ht="14.25" customHeight="1" x14ac:dyDescent="0.2">
      <c r="B91" s="434" t="s">
        <v>22</v>
      </c>
      <c r="C91" s="434">
        <f>SUM(C87:C90)</f>
        <v>5</v>
      </c>
      <c r="D91" s="434">
        <f t="shared" ref="D91:J91" si="7">SUM(D87:D90)</f>
        <v>38881</v>
      </c>
      <c r="E91" s="434">
        <f t="shared" si="7"/>
        <v>1184</v>
      </c>
      <c r="F91" s="434">
        <f t="shared" si="7"/>
        <v>2019</v>
      </c>
      <c r="G91" s="434">
        <f t="shared" si="7"/>
        <v>8288</v>
      </c>
      <c r="H91" s="434">
        <f t="shared" si="7"/>
        <v>4</v>
      </c>
      <c r="I91" s="434">
        <f t="shared" si="7"/>
        <v>3</v>
      </c>
      <c r="J91" s="434">
        <f t="shared" si="7"/>
        <v>3</v>
      </c>
    </row>
    <row r="92" spans="2:11" x14ac:dyDescent="0.2">
      <c r="B92" s="428" t="s">
        <v>158</v>
      </c>
      <c r="C92" s="443"/>
      <c r="D92" s="423"/>
      <c r="E92" s="423"/>
      <c r="F92" s="423"/>
      <c r="G92" s="423"/>
      <c r="H92" s="423"/>
      <c r="I92" s="423"/>
      <c r="J92" s="431"/>
    </row>
    <row r="93" spans="2:11" x14ac:dyDescent="0.2">
      <c r="B93" s="430" t="s">
        <v>211</v>
      </c>
      <c r="C93" s="443">
        <v>1</v>
      </c>
      <c r="D93" s="423">
        <v>951</v>
      </c>
      <c r="E93" s="423">
        <v>150</v>
      </c>
      <c r="F93" s="423">
        <v>310</v>
      </c>
      <c r="G93" s="423">
        <v>230</v>
      </c>
      <c r="H93" s="423">
        <v>1</v>
      </c>
      <c r="I93" s="423">
        <v>0</v>
      </c>
      <c r="J93" s="431">
        <v>0</v>
      </c>
    </row>
    <row r="94" spans="2:11" x14ac:dyDescent="0.2">
      <c r="B94" s="430" t="s">
        <v>212</v>
      </c>
      <c r="C94" s="443">
        <v>0</v>
      </c>
      <c r="D94" s="423">
        <v>0</v>
      </c>
      <c r="E94" s="423">
        <v>0</v>
      </c>
      <c r="F94" s="423">
        <v>0</v>
      </c>
      <c r="G94" s="423">
        <v>0</v>
      </c>
      <c r="H94" s="423">
        <v>0</v>
      </c>
      <c r="I94" s="423">
        <v>0</v>
      </c>
      <c r="J94" s="431">
        <v>0</v>
      </c>
    </row>
    <row r="95" spans="2:11" x14ac:dyDescent="0.2">
      <c r="B95" s="430" t="s">
        <v>213</v>
      </c>
      <c r="C95" s="443">
        <v>0</v>
      </c>
      <c r="D95" s="443">
        <v>0</v>
      </c>
      <c r="E95" s="443">
        <v>0</v>
      </c>
      <c r="F95" s="443">
        <v>0</v>
      </c>
      <c r="G95" s="443">
        <v>0</v>
      </c>
      <c r="H95" s="443">
        <v>0</v>
      </c>
      <c r="I95" s="443">
        <v>0</v>
      </c>
      <c r="J95" s="443">
        <v>0</v>
      </c>
      <c r="K95" s="481"/>
    </row>
    <row r="96" spans="2:11" x14ac:dyDescent="0.2">
      <c r="B96" s="430" t="s">
        <v>214</v>
      </c>
      <c r="C96" s="443">
        <v>0</v>
      </c>
      <c r="D96" s="423">
        <v>0</v>
      </c>
      <c r="E96" s="423">
        <v>0</v>
      </c>
      <c r="F96" s="423">
        <v>0</v>
      </c>
      <c r="G96" s="423">
        <v>0</v>
      </c>
      <c r="H96" s="423">
        <v>0</v>
      </c>
      <c r="I96" s="423">
        <v>0</v>
      </c>
      <c r="J96" s="431">
        <v>0</v>
      </c>
    </row>
    <row r="97" spans="2:10" x14ac:dyDescent="0.2">
      <c r="B97" s="430" t="s">
        <v>110</v>
      </c>
      <c r="C97" s="443">
        <v>0</v>
      </c>
      <c r="D97" s="423">
        <v>0</v>
      </c>
      <c r="E97" s="423">
        <v>0</v>
      </c>
      <c r="F97" s="423">
        <v>0</v>
      </c>
      <c r="G97" s="423">
        <v>0</v>
      </c>
      <c r="H97" s="423">
        <v>0</v>
      </c>
      <c r="I97" s="423">
        <v>0</v>
      </c>
      <c r="J97" s="431">
        <v>0</v>
      </c>
    </row>
    <row r="98" spans="2:10" x14ac:dyDescent="0.2">
      <c r="B98" s="430" t="s">
        <v>215</v>
      </c>
      <c r="C98" s="443">
        <v>0</v>
      </c>
      <c r="D98" s="423">
        <v>0</v>
      </c>
      <c r="E98" s="423">
        <v>0</v>
      </c>
      <c r="F98" s="423">
        <v>0</v>
      </c>
      <c r="G98" s="423">
        <v>0</v>
      </c>
      <c r="H98" s="423">
        <v>0</v>
      </c>
      <c r="I98" s="423">
        <v>0</v>
      </c>
      <c r="J98" s="431">
        <v>0</v>
      </c>
    </row>
    <row r="99" spans="2:10" ht="14.25" customHeight="1" x14ac:dyDescent="0.2">
      <c r="B99" s="434" t="s">
        <v>22</v>
      </c>
      <c r="C99" s="434">
        <f>SUM(C93:C98)</f>
        <v>1</v>
      </c>
      <c r="D99" s="434">
        <f t="shared" ref="D99:J99" si="8">SUM(D93:D98)</f>
        <v>951</v>
      </c>
      <c r="E99" s="434">
        <f t="shared" si="8"/>
        <v>150</v>
      </c>
      <c r="F99" s="434">
        <f t="shared" si="8"/>
        <v>310</v>
      </c>
      <c r="G99" s="434">
        <f t="shared" si="8"/>
        <v>230</v>
      </c>
      <c r="H99" s="434">
        <f t="shared" si="8"/>
        <v>1</v>
      </c>
      <c r="I99" s="434">
        <f t="shared" si="8"/>
        <v>0</v>
      </c>
      <c r="J99" s="434">
        <f t="shared" si="8"/>
        <v>0</v>
      </c>
    </row>
    <row r="100" spans="2:10" x14ac:dyDescent="0.2">
      <c r="B100" s="428" t="s">
        <v>159</v>
      </c>
      <c r="C100" s="443"/>
      <c r="D100" s="423"/>
      <c r="E100" s="423"/>
      <c r="F100" s="423"/>
      <c r="G100" s="423"/>
      <c r="H100" s="423"/>
      <c r="I100" s="423"/>
      <c r="J100" s="431"/>
    </row>
    <row r="101" spans="2:10" x14ac:dyDescent="0.2">
      <c r="B101" s="430" t="s">
        <v>112</v>
      </c>
      <c r="C101" s="443">
        <v>2</v>
      </c>
      <c r="D101" s="423">
        <v>11423</v>
      </c>
      <c r="E101" s="423">
        <v>70</v>
      </c>
      <c r="F101" s="423">
        <v>352</v>
      </c>
      <c r="G101" s="423">
        <v>155</v>
      </c>
      <c r="H101" s="423">
        <v>1</v>
      </c>
      <c r="I101" s="423">
        <v>1</v>
      </c>
      <c r="J101" s="431">
        <v>1</v>
      </c>
    </row>
    <row r="102" spans="2:10" x14ac:dyDescent="0.2">
      <c r="B102" s="430" t="s">
        <v>216</v>
      </c>
      <c r="C102" s="443">
        <v>2</v>
      </c>
      <c r="D102" s="423">
        <v>2413</v>
      </c>
      <c r="E102" s="423">
        <v>79</v>
      </c>
      <c r="F102" s="423">
        <v>30</v>
      </c>
      <c r="G102" s="423">
        <v>30</v>
      </c>
      <c r="H102" s="423">
        <v>0</v>
      </c>
      <c r="I102" s="423">
        <v>1</v>
      </c>
      <c r="J102" s="431">
        <v>1</v>
      </c>
    </row>
    <row r="103" spans="2:10" x14ac:dyDescent="0.2">
      <c r="B103" s="430" t="s">
        <v>217</v>
      </c>
      <c r="C103" s="443">
        <v>1</v>
      </c>
      <c r="D103" s="423">
        <v>8301</v>
      </c>
      <c r="E103" s="423">
        <v>201</v>
      </c>
      <c r="F103" s="423">
        <v>432</v>
      </c>
      <c r="G103" s="423">
        <v>210</v>
      </c>
      <c r="H103" s="423">
        <v>0</v>
      </c>
      <c r="I103" s="423">
        <v>1</v>
      </c>
      <c r="J103" s="431">
        <v>1</v>
      </c>
    </row>
    <row r="104" spans="2:10" x14ac:dyDescent="0.2">
      <c r="B104" s="430" t="s">
        <v>218</v>
      </c>
      <c r="C104" s="443">
        <v>2</v>
      </c>
      <c r="D104" s="423">
        <v>5440</v>
      </c>
      <c r="E104" s="423">
        <v>168</v>
      </c>
      <c r="F104" s="423">
        <v>0</v>
      </c>
      <c r="G104" s="423">
        <v>82</v>
      </c>
      <c r="H104" s="423">
        <v>1</v>
      </c>
      <c r="I104" s="423">
        <v>0</v>
      </c>
      <c r="J104" s="431">
        <v>0</v>
      </c>
    </row>
    <row r="105" spans="2:10" x14ac:dyDescent="0.2">
      <c r="B105" s="430" t="s">
        <v>219</v>
      </c>
      <c r="C105" s="443">
        <v>0</v>
      </c>
      <c r="D105" s="423">
        <v>0</v>
      </c>
      <c r="E105" s="423">
        <v>0</v>
      </c>
      <c r="F105" s="423">
        <v>0</v>
      </c>
      <c r="G105" s="423">
        <v>0</v>
      </c>
      <c r="H105" s="423">
        <v>0</v>
      </c>
      <c r="I105" s="423">
        <v>0</v>
      </c>
      <c r="J105" s="431">
        <v>0</v>
      </c>
    </row>
    <row r="106" spans="2:10" x14ac:dyDescent="0.2">
      <c r="B106" s="430" t="s">
        <v>220</v>
      </c>
      <c r="C106" s="443">
        <v>1</v>
      </c>
      <c r="D106" s="423">
        <v>3859</v>
      </c>
      <c r="E106" s="423">
        <v>272</v>
      </c>
      <c r="F106" s="423">
        <v>2587</v>
      </c>
      <c r="G106" s="423">
        <v>1023</v>
      </c>
      <c r="H106" s="423">
        <v>0</v>
      </c>
      <c r="I106" s="423">
        <v>0</v>
      </c>
      <c r="J106" s="431">
        <v>0</v>
      </c>
    </row>
    <row r="107" spans="2:10" x14ac:dyDescent="0.2">
      <c r="B107" s="430" t="s">
        <v>113</v>
      </c>
      <c r="C107" s="443">
        <v>6</v>
      </c>
      <c r="D107" s="423">
        <v>52062</v>
      </c>
      <c r="E107" s="423">
        <v>1168</v>
      </c>
      <c r="F107" s="423">
        <v>7528</v>
      </c>
      <c r="G107" s="423">
        <v>8290</v>
      </c>
      <c r="H107" s="423">
        <v>7</v>
      </c>
      <c r="I107" s="423">
        <v>5</v>
      </c>
      <c r="J107" s="431">
        <v>5</v>
      </c>
    </row>
    <row r="108" spans="2:10" x14ac:dyDescent="0.2">
      <c r="B108" s="430" t="s">
        <v>221</v>
      </c>
      <c r="C108" s="443">
        <v>1</v>
      </c>
      <c r="D108" s="423">
        <v>73</v>
      </c>
      <c r="E108" s="423">
        <v>20</v>
      </c>
      <c r="F108" s="423">
        <v>42</v>
      </c>
      <c r="G108" s="423">
        <v>36</v>
      </c>
      <c r="H108" s="423">
        <v>0</v>
      </c>
      <c r="I108" s="423">
        <v>0</v>
      </c>
      <c r="J108" s="431">
        <v>0</v>
      </c>
    </row>
    <row r="109" spans="2:10" ht="14.25" customHeight="1" x14ac:dyDescent="0.2">
      <c r="B109" s="434" t="s">
        <v>22</v>
      </c>
      <c r="C109" s="434">
        <f>SUM(C101:C108)</f>
        <v>15</v>
      </c>
      <c r="D109" s="434">
        <f t="shared" ref="D109:J109" si="9">SUM(D101:D108)</f>
        <v>83571</v>
      </c>
      <c r="E109" s="434">
        <f t="shared" si="9"/>
        <v>1978</v>
      </c>
      <c r="F109" s="434">
        <f t="shared" si="9"/>
        <v>10971</v>
      </c>
      <c r="G109" s="434">
        <f t="shared" si="9"/>
        <v>9826</v>
      </c>
      <c r="H109" s="434">
        <f t="shared" si="9"/>
        <v>9</v>
      </c>
      <c r="I109" s="434">
        <f t="shared" si="9"/>
        <v>8</v>
      </c>
      <c r="J109" s="434">
        <f t="shared" si="9"/>
        <v>8</v>
      </c>
    </row>
    <row r="110" spans="2:10" ht="18" customHeight="1" x14ac:dyDescent="0.2">
      <c r="B110" s="447" t="s">
        <v>115</v>
      </c>
      <c r="C110" s="447">
        <f t="shared" ref="C110:J110" si="10">C17+C27+C36+C43+C51+C79+C85+C91+C99+C109</f>
        <v>56</v>
      </c>
      <c r="D110" s="447">
        <f t="shared" si="10"/>
        <v>376239</v>
      </c>
      <c r="E110" s="447">
        <f t="shared" si="10"/>
        <v>10535</v>
      </c>
      <c r="F110" s="447">
        <f t="shared" si="10"/>
        <v>65822</v>
      </c>
      <c r="G110" s="447">
        <f t="shared" si="10"/>
        <v>79748</v>
      </c>
      <c r="H110" s="447">
        <f t="shared" si="10"/>
        <v>41</v>
      </c>
      <c r="I110" s="447">
        <f t="shared" si="10"/>
        <v>38</v>
      </c>
      <c r="J110" s="447">
        <f t="shared" si="10"/>
        <v>38</v>
      </c>
    </row>
    <row r="111" spans="2:10" x14ac:dyDescent="0.2">
      <c r="B111" s="440"/>
    </row>
    <row r="112" spans="2:10" x14ac:dyDescent="0.2">
      <c r="B112" s="440"/>
    </row>
    <row r="113" spans="2:21" x14ac:dyDescent="0.2">
      <c r="B113" s="440"/>
    </row>
    <row r="114" spans="2:21" s="440" customFormat="1" x14ac:dyDescent="0.2"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</row>
    <row r="115" spans="2:21" s="440" customFormat="1" x14ac:dyDescent="0.2"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</row>
    <row r="116" spans="2:21" s="440" customFormat="1" x14ac:dyDescent="0.2"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</row>
    <row r="117" spans="2:21" s="440" customFormat="1" x14ac:dyDescent="0.2"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</row>
    <row r="118" spans="2:21" s="440" customFormat="1" x14ac:dyDescent="0.2"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</row>
    <row r="119" spans="2:21" s="440" customFormat="1" x14ac:dyDescent="0.2"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</row>
    <row r="120" spans="2:21" s="440" customFormat="1" x14ac:dyDescent="0.2"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</row>
    <row r="121" spans="2:21" s="440" customFormat="1" x14ac:dyDescent="0.2"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</row>
    <row r="122" spans="2:21" s="440" customFormat="1" x14ac:dyDescent="0.2"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</row>
    <row r="123" spans="2:21" s="440" customFormat="1" x14ac:dyDescent="0.2"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</row>
    <row r="124" spans="2:21" s="440" customFormat="1" x14ac:dyDescent="0.2"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</row>
    <row r="125" spans="2:21" s="440" customFormat="1" x14ac:dyDescent="0.2"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</row>
    <row r="126" spans="2:21" s="440" customFormat="1" x14ac:dyDescent="0.2"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</row>
    <row r="127" spans="2:21" s="440" customFormat="1" x14ac:dyDescent="0.2"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</row>
    <row r="128" spans="2:21" s="440" customFormat="1" x14ac:dyDescent="0.2"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</row>
    <row r="129" spans="4:21" s="440" customFormat="1" x14ac:dyDescent="0.2"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</row>
    <row r="130" spans="4:21" s="440" customFormat="1" x14ac:dyDescent="0.2"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</row>
    <row r="131" spans="4:21" s="440" customFormat="1" x14ac:dyDescent="0.2"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</row>
    <row r="132" spans="4:21" s="440" customFormat="1" x14ac:dyDescent="0.2"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</row>
    <row r="133" spans="4:21" s="440" customFormat="1" x14ac:dyDescent="0.2"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</row>
    <row r="134" spans="4:21" s="440" customFormat="1" x14ac:dyDescent="0.2"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</row>
    <row r="135" spans="4:21" s="440" customFormat="1" x14ac:dyDescent="0.2"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</row>
    <row r="136" spans="4:21" s="440" customFormat="1" x14ac:dyDescent="0.2"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</row>
    <row r="137" spans="4:21" s="440" customFormat="1" x14ac:dyDescent="0.2"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</row>
    <row r="138" spans="4:21" s="440" customFormat="1" x14ac:dyDescent="0.2"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</row>
    <row r="139" spans="4:21" s="440" customFormat="1" x14ac:dyDescent="0.2"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</row>
    <row r="140" spans="4:21" s="440" customFormat="1" x14ac:dyDescent="0.2"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</row>
    <row r="141" spans="4:21" s="440" customFormat="1" x14ac:dyDescent="0.2"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</row>
    <row r="142" spans="4:21" s="440" customFormat="1" x14ac:dyDescent="0.2"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</row>
    <row r="143" spans="4:21" s="440" customFormat="1" x14ac:dyDescent="0.2"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</row>
    <row r="144" spans="4:21" s="440" customFormat="1" x14ac:dyDescent="0.2"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</row>
    <row r="145" spans="4:21" s="440" customFormat="1" x14ac:dyDescent="0.2"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</row>
    <row r="146" spans="4:21" s="440" customFormat="1" x14ac:dyDescent="0.2"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</row>
    <row r="147" spans="4:21" s="440" customFormat="1" x14ac:dyDescent="0.2"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</row>
    <row r="148" spans="4:21" s="440" customFormat="1" x14ac:dyDescent="0.2"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</row>
    <row r="149" spans="4:21" s="440" customFormat="1" x14ac:dyDescent="0.2"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</row>
    <row r="150" spans="4:21" s="440" customFormat="1" x14ac:dyDescent="0.2"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</row>
    <row r="151" spans="4:21" s="440" customFormat="1" x14ac:dyDescent="0.2"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</row>
    <row r="152" spans="4:21" s="440" customFormat="1" x14ac:dyDescent="0.2"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</row>
    <row r="153" spans="4:21" s="440" customFormat="1" x14ac:dyDescent="0.2"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</row>
    <row r="154" spans="4:21" s="440" customFormat="1" x14ac:dyDescent="0.2"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</row>
    <row r="155" spans="4:21" s="440" customFormat="1" x14ac:dyDescent="0.2"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</row>
    <row r="156" spans="4:21" s="440" customFormat="1" x14ac:dyDescent="0.2"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</row>
    <row r="157" spans="4:21" s="440" customFormat="1" x14ac:dyDescent="0.2"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</row>
    <row r="158" spans="4:21" s="440" customFormat="1" x14ac:dyDescent="0.2"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</row>
    <row r="159" spans="4:21" s="440" customFormat="1" x14ac:dyDescent="0.2"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</row>
    <row r="160" spans="4:21" s="440" customFormat="1" x14ac:dyDescent="0.2"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</row>
    <row r="161" spans="4:21" s="440" customFormat="1" x14ac:dyDescent="0.2"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</row>
    <row r="162" spans="4:21" s="440" customFormat="1" x14ac:dyDescent="0.2"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</row>
    <row r="163" spans="4:21" s="440" customFormat="1" x14ac:dyDescent="0.2"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</row>
    <row r="164" spans="4:21" s="440" customFormat="1" x14ac:dyDescent="0.2"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</row>
    <row r="165" spans="4:21" s="440" customFormat="1" x14ac:dyDescent="0.2"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</row>
    <row r="166" spans="4:21" s="440" customFormat="1" x14ac:dyDescent="0.2"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</row>
    <row r="167" spans="4:21" s="440" customFormat="1" x14ac:dyDescent="0.2"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</row>
    <row r="168" spans="4:21" s="440" customFormat="1" x14ac:dyDescent="0.2"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</row>
    <row r="169" spans="4:21" s="440" customFormat="1" x14ac:dyDescent="0.2"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</row>
    <row r="170" spans="4:21" s="440" customFormat="1" x14ac:dyDescent="0.2"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</row>
    <row r="171" spans="4:21" s="440" customFormat="1" x14ac:dyDescent="0.2"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</row>
    <row r="172" spans="4:21" s="440" customFormat="1" x14ac:dyDescent="0.2"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</row>
  </sheetData>
  <mergeCells count="23">
    <mergeCell ref="G67:G69"/>
    <mergeCell ref="H67:H69"/>
    <mergeCell ref="I67:J68"/>
    <mergeCell ref="H7:H9"/>
    <mergeCell ref="I7:J8"/>
    <mergeCell ref="B62:J62"/>
    <mergeCell ref="I63:J63"/>
    <mergeCell ref="B66:J66"/>
    <mergeCell ref="B67:B69"/>
    <mergeCell ref="C67:C69"/>
    <mergeCell ref="D67:D69"/>
    <mergeCell ref="E67:E69"/>
    <mergeCell ref="F67:F69"/>
    <mergeCell ref="B2:J2"/>
    <mergeCell ref="B3:J3"/>
    <mergeCell ref="I4:J4"/>
    <mergeCell ref="B5:J5"/>
    <mergeCell ref="B7:B9"/>
    <mergeCell ref="C7:C9"/>
    <mergeCell ref="D7:D9"/>
    <mergeCell ref="E7:E9"/>
    <mergeCell ref="F7:F9"/>
    <mergeCell ref="G7:G9"/>
  </mergeCells>
  <pageMargins left="0.94488188976377963" right="0.74803149606299213" top="0.98425196850393704" bottom="0.98425196850393704" header="0" footer="0"/>
  <pageSetup paperSize="9" scale="96" fitToHeight="0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88"/>
  <sheetViews>
    <sheetView zoomScaleNormal="100" workbookViewId="0">
      <selection activeCell="C37" sqref="C37"/>
    </sheetView>
  </sheetViews>
  <sheetFormatPr defaultColWidth="9.140625" defaultRowHeight="12" x14ac:dyDescent="0.2"/>
  <cols>
    <col min="1" max="1" width="9.140625" style="161"/>
    <col min="2" max="2" width="18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1.42578125" style="161" customWidth="1"/>
    <col min="8" max="8" width="11.57031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12" s="175" customFormat="1" ht="15.75" x14ac:dyDescent="0.25">
      <c r="B2" s="961" t="s">
        <v>176</v>
      </c>
      <c r="C2" s="961"/>
      <c r="D2" s="961"/>
      <c r="E2" s="961"/>
      <c r="F2" s="961"/>
      <c r="G2" s="961"/>
      <c r="H2" s="961"/>
      <c r="I2" s="961"/>
      <c r="J2" s="961"/>
    </row>
    <row r="3" spans="2:12" s="175" customFormat="1" ht="15.75" x14ac:dyDescent="0.25">
      <c r="B3" s="1005"/>
      <c r="C3" s="1005"/>
      <c r="D3" s="1005"/>
      <c r="E3" s="1005"/>
      <c r="F3" s="1005"/>
      <c r="G3" s="1005"/>
      <c r="H3" s="1005"/>
      <c r="I3" s="1005"/>
      <c r="J3" s="1005"/>
    </row>
    <row r="4" spans="2:12" s="175" customFormat="1" ht="15.75" x14ac:dyDescent="0.25">
      <c r="B4" s="174"/>
      <c r="I4" s="982" t="s">
        <v>283</v>
      </c>
      <c r="J4" s="982"/>
    </row>
    <row r="5" spans="2:12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12" x14ac:dyDescent="0.2">
      <c r="B6" s="423"/>
    </row>
    <row r="7" spans="2:12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224</v>
      </c>
      <c r="I7" s="1001" t="s">
        <v>223</v>
      </c>
      <c r="J7" s="1002"/>
      <c r="K7" s="424"/>
      <c r="L7" s="424"/>
    </row>
    <row r="8" spans="2:12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12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12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12" x14ac:dyDescent="0.2">
      <c r="B11" s="487" t="s">
        <v>151</v>
      </c>
      <c r="C11" s="423">
        <v>0</v>
      </c>
      <c r="D11" s="423">
        <v>0</v>
      </c>
      <c r="E11" s="423">
        <v>0</v>
      </c>
      <c r="F11" s="423">
        <v>0</v>
      </c>
      <c r="G11" s="423">
        <v>0</v>
      </c>
      <c r="H11" s="423">
        <v>0</v>
      </c>
      <c r="I11" s="423">
        <v>0</v>
      </c>
      <c r="J11" s="431">
        <v>0</v>
      </c>
    </row>
    <row r="12" spans="2:12" x14ac:dyDescent="0.2">
      <c r="B12" s="592" t="s">
        <v>152</v>
      </c>
      <c r="C12" s="593"/>
      <c r="D12" s="593"/>
      <c r="E12" s="593"/>
      <c r="F12" s="593"/>
      <c r="G12" s="593"/>
      <c r="H12" s="593"/>
      <c r="I12" s="593"/>
      <c r="J12" s="594"/>
    </row>
    <row r="13" spans="2:12" x14ac:dyDescent="0.2">
      <c r="B13" s="485" t="s">
        <v>92</v>
      </c>
      <c r="C13" s="423">
        <v>1</v>
      </c>
      <c r="D13" s="423">
        <v>10997</v>
      </c>
      <c r="E13" s="423">
        <v>104</v>
      </c>
      <c r="F13" s="423">
        <v>5668</v>
      </c>
      <c r="G13" s="423">
        <v>1373</v>
      </c>
      <c r="H13" s="423">
        <v>1</v>
      </c>
      <c r="I13" s="423">
        <v>1</v>
      </c>
      <c r="J13" s="431">
        <v>1</v>
      </c>
    </row>
    <row r="14" spans="2:12" x14ac:dyDescent="0.2">
      <c r="B14" s="485" t="s">
        <v>184</v>
      </c>
      <c r="C14" s="423">
        <v>1</v>
      </c>
      <c r="D14" s="423">
        <v>1775</v>
      </c>
      <c r="E14" s="423">
        <v>6</v>
      </c>
      <c r="F14" s="423">
        <v>99</v>
      </c>
      <c r="G14" s="423">
        <v>49</v>
      </c>
      <c r="H14" s="423">
        <v>0</v>
      </c>
      <c r="I14" s="423">
        <v>1</v>
      </c>
      <c r="J14" s="431">
        <v>1</v>
      </c>
    </row>
    <row r="15" spans="2:12" x14ac:dyDescent="0.2">
      <c r="B15" s="486" t="s">
        <v>153</v>
      </c>
      <c r="C15" s="423">
        <v>0</v>
      </c>
      <c r="D15" s="423">
        <v>0</v>
      </c>
      <c r="E15" s="423">
        <v>0</v>
      </c>
      <c r="F15" s="423">
        <v>0</v>
      </c>
      <c r="G15" s="423">
        <v>0</v>
      </c>
      <c r="H15" s="423">
        <v>0</v>
      </c>
      <c r="I15" s="423">
        <v>0</v>
      </c>
      <c r="J15" s="431">
        <v>0</v>
      </c>
    </row>
    <row r="16" spans="2:12" x14ac:dyDescent="0.2">
      <c r="B16" s="486" t="s">
        <v>178</v>
      </c>
      <c r="C16" s="423">
        <v>0</v>
      </c>
      <c r="D16" s="423">
        <v>0</v>
      </c>
      <c r="E16" s="423">
        <v>0</v>
      </c>
      <c r="F16" s="423">
        <v>0</v>
      </c>
      <c r="G16" s="423">
        <v>0</v>
      </c>
      <c r="H16" s="423">
        <v>0</v>
      </c>
      <c r="I16" s="423">
        <v>0</v>
      </c>
      <c r="J16" s="431">
        <v>0</v>
      </c>
    </row>
    <row r="17" spans="2:17" x14ac:dyDescent="0.2">
      <c r="B17" s="592" t="s">
        <v>154</v>
      </c>
      <c r="C17" s="593"/>
      <c r="D17" s="593"/>
      <c r="E17" s="593"/>
      <c r="F17" s="593"/>
      <c r="G17" s="593"/>
      <c r="H17" s="593"/>
      <c r="I17" s="593"/>
      <c r="J17" s="594"/>
    </row>
    <row r="18" spans="2:17" x14ac:dyDescent="0.2">
      <c r="B18" s="485" t="s">
        <v>198</v>
      </c>
      <c r="C18" s="423">
        <v>1</v>
      </c>
      <c r="D18" s="423">
        <v>3172</v>
      </c>
      <c r="E18" s="423">
        <v>26</v>
      </c>
      <c r="F18" s="423">
        <v>54</v>
      </c>
      <c r="G18" s="423">
        <v>26</v>
      </c>
      <c r="H18" s="423">
        <v>0</v>
      </c>
      <c r="I18" s="423">
        <v>0</v>
      </c>
      <c r="J18" s="431">
        <v>0</v>
      </c>
    </row>
    <row r="19" spans="2:17" x14ac:dyDescent="0.2">
      <c r="B19" s="592" t="s">
        <v>155</v>
      </c>
      <c r="C19" s="593"/>
      <c r="D19" s="593"/>
      <c r="E19" s="593"/>
      <c r="F19" s="593"/>
      <c r="G19" s="593"/>
      <c r="H19" s="593"/>
      <c r="I19" s="593"/>
      <c r="J19" s="594"/>
      <c r="K19" s="437"/>
      <c r="L19" s="437"/>
    </row>
    <row r="20" spans="2:17" x14ac:dyDescent="0.2">
      <c r="B20" s="485" t="s">
        <v>202</v>
      </c>
      <c r="C20" s="423">
        <v>1</v>
      </c>
      <c r="D20" s="423">
        <v>910</v>
      </c>
      <c r="E20" s="423">
        <v>0</v>
      </c>
      <c r="F20" s="423">
        <v>14</v>
      </c>
      <c r="G20" s="423">
        <v>14</v>
      </c>
      <c r="H20" s="423">
        <v>0</v>
      </c>
      <c r="I20" s="423">
        <v>1</v>
      </c>
      <c r="J20" s="431">
        <v>1</v>
      </c>
      <c r="K20" s="437"/>
      <c r="L20" s="437"/>
    </row>
    <row r="21" spans="2:17" x14ac:dyDescent="0.2">
      <c r="B21" s="597" t="s">
        <v>104</v>
      </c>
      <c r="C21" s="423">
        <v>1</v>
      </c>
      <c r="D21" s="423">
        <v>1905</v>
      </c>
      <c r="E21" s="423">
        <v>158</v>
      </c>
      <c r="F21" s="423">
        <v>53</v>
      </c>
      <c r="G21" s="423">
        <v>54</v>
      </c>
      <c r="H21" s="423">
        <v>1</v>
      </c>
      <c r="I21" s="423">
        <v>1</v>
      </c>
      <c r="J21" s="431">
        <v>1</v>
      </c>
      <c r="K21" s="437"/>
      <c r="L21" s="437"/>
    </row>
    <row r="22" spans="2:17" x14ac:dyDescent="0.2">
      <c r="B22" s="598" t="s">
        <v>156</v>
      </c>
      <c r="C22" s="423">
        <v>0</v>
      </c>
      <c r="D22" s="423">
        <v>0</v>
      </c>
      <c r="E22" s="423">
        <v>0</v>
      </c>
      <c r="F22" s="423">
        <v>0</v>
      </c>
      <c r="G22" s="423">
        <v>0</v>
      </c>
      <c r="H22" s="423">
        <v>0</v>
      </c>
      <c r="I22" s="423">
        <v>0</v>
      </c>
      <c r="J22" s="431">
        <v>0</v>
      </c>
      <c r="Q22" s="440"/>
    </row>
    <row r="23" spans="2:17" x14ac:dyDescent="0.2">
      <c r="B23" s="598" t="s">
        <v>157</v>
      </c>
      <c r="C23" s="423">
        <v>0</v>
      </c>
      <c r="D23" s="423">
        <v>0</v>
      </c>
      <c r="E23" s="423">
        <v>0</v>
      </c>
      <c r="F23" s="423">
        <v>0</v>
      </c>
      <c r="G23" s="423">
        <v>0</v>
      </c>
      <c r="H23" s="423">
        <v>0</v>
      </c>
      <c r="I23" s="423">
        <v>0</v>
      </c>
      <c r="J23" s="431">
        <v>0</v>
      </c>
    </row>
    <row r="24" spans="2:17" x14ac:dyDescent="0.2">
      <c r="B24" s="598" t="s">
        <v>158</v>
      </c>
      <c r="C24" s="423">
        <v>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0</v>
      </c>
      <c r="J24" s="431">
        <v>0</v>
      </c>
    </row>
    <row r="25" spans="2:17" x14ac:dyDescent="0.2">
      <c r="B25" s="596" t="s">
        <v>159</v>
      </c>
      <c r="C25" s="423">
        <v>0</v>
      </c>
      <c r="D25" s="423">
        <v>0</v>
      </c>
      <c r="E25" s="423">
        <v>0</v>
      </c>
      <c r="F25" s="423">
        <v>0</v>
      </c>
      <c r="G25" s="423">
        <v>0</v>
      </c>
      <c r="H25" s="423">
        <v>0</v>
      </c>
      <c r="I25" s="423">
        <v>0</v>
      </c>
      <c r="J25" s="431">
        <v>0</v>
      </c>
    </row>
    <row r="26" spans="2:17" ht="18" customHeight="1" x14ac:dyDescent="0.2">
      <c r="B26" s="447" t="s">
        <v>115</v>
      </c>
      <c r="C26" s="447">
        <f t="shared" ref="C26:J26" si="0">SUM(C11:C25)</f>
        <v>5</v>
      </c>
      <c r="D26" s="447">
        <f t="shared" si="0"/>
        <v>18759</v>
      </c>
      <c r="E26" s="447">
        <f t="shared" si="0"/>
        <v>294</v>
      </c>
      <c r="F26" s="447">
        <f t="shared" si="0"/>
        <v>5888</v>
      </c>
      <c r="G26" s="447">
        <f t="shared" si="0"/>
        <v>1516</v>
      </c>
      <c r="H26" s="447">
        <f t="shared" si="0"/>
        <v>2</v>
      </c>
      <c r="I26" s="447">
        <f t="shared" si="0"/>
        <v>4</v>
      </c>
      <c r="J26" s="447">
        <f t="shared" si="0"/>
        <v>4</v>
      </c>
    </row>
    <row r="27" spans="2:17" x14ac:dyDescent="0.2">
      <c r="B27" s="440"/>
    </row>
    <row r="28" spans="2:17" x14ac:dyDescent="0.2">
      <c r="B28" s="440"/>
    </row>
    <row r="29" spans="2:17" x14ac:dyDescent="0.2">
      <c r="B29" s="440"/>
    </row>
    <row r="30" spans="2:17" x14ac:dyDescent="0.2">
      <c r="B30" s="440"/>
    </row>
    <row r="31" spans="2:17" x14ac:dyDescent="0.2">
      <c r="B31" s="440"/>
    </row>
    <row r="32" spans="2:17" x14ac:dyDescent="0.2">
      <c r="B32" s="440"/>
    </row>
    <row r="33" spans="2:2" x14ac:dyDescent="0.2">
      <c r="B33" s="440"/>
    </row>
    <row r="34" spans="2:2" x14ac:dyDescent="0.2">
      <c r="B34" s="440"/>
    </row>
    <row r="35" spans="2:2" x14ac:dyDescent="0.2">
      <c r="B35" s="440"/>
    </row>
    <row r="36" spans="2:2" x14ac:dyDescent="0.2">
      <c r="B36" s="440"/>
    </row>
    <row r="37" spans="2:2" x14ac:dyDescent="0.2">
      <c r="B37" s="440"/>
    </row>
    <row r="38" spans="2:2" x14ac:dyDescent="0.2">
      <c r="B38" s="440"/>
    </row>
    <row r="39" spans="2:2" x14ac:dyDescent="0.2">
      <c r="B39" s="440"/>
    </row>
    <row r="40" spans="2:2" x14ac:dyDescent="0.2">
      <c r="B40" s="440"/>
    </row>
    <row r="41" spans="2:2" x14ac:dyDescent="0.2">
      <c r="B41" s="440"/>
    </row>
    <row r="42" spans="2:2" x14ac:dyDescent="0.2">
      <c r="B42" s="440"/>
    </row>
    <row r="43" spans="2:2" x14ac:dyDescent="0.2">
      <c r="B43" s="440"/>
    </row>
    <row r="44" spans="2:2" x14ac:dyDescent="0.2">
      <c r="B44" s="440"/>
    </row>
    <row r="45" spans="2:2" x14ac:dyDescent="0.2">
      <c r="B45" s="440"/>
    </row>
    <row r="46" spans="2:2" x14ac:dyDescent="0.2">
      <c r="B46" s="440"/>
    </row>
    <row r="47" spans="2:2" x14ac:dyDescent="0.2">
      <c r="B47" s="440"/>
    </row>
    <row r="48" spans="2:2" x14ac:dyDescent="0.2">
      <c r="B48" s="440"/>
    </row>
    <row r="49" spans="2:2" x14ac:dyDescent="0.2">
      <c r="B49" s="440"/>
    </row>
    <row r="50" spans="2:2" x14ac:dyDescent="0.2">
      <c r="B50" s="440"/>
    </row>
    <row r="51" spans="2:2" x14ac:dyDescent="0.2">
      <c r="B51" s="440"/>
    </row>
    <row r="52" spans="2:2" x14ac:dyDescent="0.2">
      <c r="B52" s="440"/>
    </row>
    <row r="53" spans="2:2" x14ac:dyDescent="0.2">
      <c r="B53" s="440"/>
    </row>
    <row r="54" spans="2:2" x14ac:dyDescent="0.2">
      <c r="B54" s="440"/>
    </row>
    <row r="55" spans="2:2" x14ac:dyDescent="0.2">
      <c r="B55" s="440"/>
    </row>
    <row r="56" spans="2:2" x14ac:dyDescent="0.2">
      <c r="B56" s="440"/>
    </row>
    <row r="57" spans="2:2" x14ac:dyDescent="0.2">
      <c r="B57" s="440"/>
    </row>
    <row r="58" spans="2:2" x14ac:dyDescent="0.2">
      <c r="B58" s="440"/>
    </row>
    <row r="59" spans="2:2" x14ac:dyDescent="0.2">
      <c r="B59" s="440"/>
    </row>
    <row r="60" spans="2:2" x14ac:dyDescent="0.2">
      <c r="B60" s="440"/>
    </row>
    <row r="61" spans="2:2" x14ac:dyDescent="0.2">
      <c r="B61" s="440"/>
    </row>
    <row r="62" spans="2:2" x14ac:dyDescent="0.2">
      <c r="B62" s="440"/>
    </row>
    <row r="63" spans="2:2" x14ac:dyDescent="0.2">
      <c r="B63" s="440"/>
    </row>
    <row r="64" spans="2:2" x14ac:dyDescent="0.2">
      <c r="B64" s="440"/>
    </row>
    <row r="65" spans="2:2" x14ac:dyDescent="0.2">
      <c r="B65" s="440"/>
    </row>
    <row r="66" spans="2:2" x14ac:dyDescent="0.2">
      <c r="B66" s="440"/>
    </row>
    <row r="67" spans="2:2" x14ac:dyDescent="0.2">
      <c r="B67" s="440"/>
    </row>
    <row r="68" spans="2:2" x14ac:dyDescent="0.2">
      <c r="B68" s="440"/>
    </row>
    <row r="69" spans="2:2" x14ac:dyDescent="0.2">
      <c r="B69" s="440"/>
    </row>
    <row r="70" spans="2:2" x14ac:dyDescent="0.2">
      <c r="B70" s="440"/>
    </row>
    <row r="71" spans="2:2" x14ac:dyDescent="0.2">
      <c r="B71" s="440"/>
    </row>
    <row r="72" spans="2:2" x14ac:dyDescent="0.2">
      <c r="B72" s="440"/>
    </row>
    <row r="73" spans="2:2" x14ac:dyDescent="0.2">
      <c r="B73" s="440"/>
    </row>
    <row r="74" spans="2:2" x14ac:dyDescent="0.2">
      <c r="B74" s="440"/>
    </row>
    <row r="75" spans="2:2" x14ac:dyDescent="0.2">
      <c r="B75" s="440"/>
    </row>
    <row r="76" spans="2:2" x14ac:dyDescent="0.2">
      <c r="B76" s="440"/>
    </row>
    <row r="77" spans="2:2" x14ac:dyDescent="0.2">
      <c r="B77" s="440"/>
    </row>
    <row r="78" spans="2:2" x14ac:dyDescent="0.2">
      <c r="B78" s="440"/>
    </row>
    <row r="79" spans="2:2" x14ac:dyDescent="0.2">
      <c r="B79" s="440"/>
    </row>
    <row r="80" spans="2:2" x14ac:dyDescent="0.2">
      <c r="B80" s="440"/>
    </row>
    <row r="81" spans="2:2" x14ac:dyDescent="0.2">
      <c r="B81" s="440"/>
    </row>
    <row r="82" spans="2:2" x14ac:dyDescent="0.2">
      <c r="B82" s="440"/>
    </row>
    <row r="83" spans="2:2" x14ac:dyDescent="0.2">
      <c r="B83" s="440"/>
    </row>
    <row r="84" spans="2:2" x14ac:dyDescent="0.2">
      <c r="B84" s="440"/>
    </row>
    <row r="85" spans="2:2" x14ac:dyDescent="0.2">
      <c r="B85" s="440"/>
    </row>
    <row r="86" spans="2:2" x14ac:dyDescent="0.2">
      <c r="B86" s="440"/>
    </row>
    <row r="87" spans="2:2" x14ac:dyDescent="0.2">
      <c r="B87" s="440"/>
    </row>
    <row r="88" spans="2:2" x14ac:dyDescent="0.2">
      <c r="B88" s="440"/>
    </row>
  </sheetData>
  <mergeCells count="12">
    <mergeCell ref="H7:H9"/>
    <mergeCell ref="I7:J8"/>
    <mergeCell ref="B2:J2"/>
    <mergeCell ref="B3:J3"/>
    <mergeCell ref="I4:J4"/>
    <mergeCell ref="B5:J5"/>
    <mergeCell ref="B7:B9"/>
    <mergeCell ref="C7:C9"/>
    <mergeCell ref="D7:D9"/>
    <mergeCell ref="E7:E9"/>
    <mergeCell ref="F7:F9"/>
    <mergeCell ref="G7:G9"/>
  </mergeCells>
  <pageMargins left="0.91" right="0.75" top="1" bottom="1" header="0" footer="0"/>
  <pageSetup paperSize="9" scale="82" fitToHeight="0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4"/>
  <sheetViews>
    <sheetView zoomScaleNormal="100" workbookViewId="0">
      <selection activeCell="C32" sqref="C32"/>
    </sheetView>
  </sheetViews>
  <sheetFormatPr defaultRowHeight="15" x14ac:dyDescent="0.25"/>
  <cols>
    <col min="2" max="2" width="18.7109375" bestFit="1" customWidth="1"/>
  </cols>
  <sheetData>
    <row r="2" spans="2:10" x14ac:dyDescent="0.25">
      <c r="B2" s="1021" t="s">
        <v>278</v>
      </c>
      <c r="C2" s="1021"/>
      <c r="D2" s="1021"/>
      <c r="E2" s="1021"/>
      <c r="F2" s="1021"/>
      <c r="G2" s="1021"/>
      <c r="H2" s="1021"/>
      <c r="I2" s="1021"/>
      <c r="J2" s="1021"/>
    </row>
    <row r="4" spans="2:10" ht="15.75" x14ac:dyDescent="0.25">
      <c r="I4" s="1022" t="s">
        <v>283</v>
      </c>
      <c r="J4" s="1022"/>
    </row>
    <row r="5" spans="2:10" x14ac:dyDescent="0.25">
      <c r="B5" s="1020" t="s">
        <v>65</v>
      </c>
      <c r="C5" s="1020"/>
      <c r="D5" s="1020"/>
      <c r="E5" s="1020"/>
      <c r="F5" s="1020"/>
      <c r="G5" s="1020"/>
      <c r="H5" s="1020"/>
      <c r="I5" s="1020"/>
      <c r="J5" s="1020"/>
    </row>
    <row r="7" spans="2:10" x14ac:dyDescent="0.25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</row>
    <row r="8" spans="2:10" x14ac:dyDescent="0.25">
      <c r="B8" s="969"/>
      <c r="C8" s="969"/>
      <c r="D8" s="969"/>
      <c r="E8" s="969"/>
      <c r="F8" s="969"/>
      <c r="G8" s="969"/>
      <c r="H8" s="969"/>
      <c r="I8" s="1003"/>
      <c r="J8" s="1004"/>
    </row>
    <row r="9" spans="2:10" x14ac:dyDescent="0.25">
      <c r="B9" s="970"/>
      <c r="C9" s="970"/>
      <c r="D9" s="970"/>
      <c r="E9" s="970"/>
      <c r="F9" s="970"/>
      <c r="G9" s="970"/>
      <c r="H9" s="970"/>
      <c r="I9" s="595" t="s">
        <v>73</v>
      </c>
      <c r="J9" s="427" t="s">
        <v>86</v>
      </c>
    </row>
    <row r="10" spans="2:10" x14ac:dyDescent="0.25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</row>
    <row r="11" spans="2:10" x14ac:dyDescent="0.25">
      <c r="B11" s="487" t="s">
        <v>151</v>
      </c>
      <c r="C11" s="423">
        <v>0</v>
      </c>
      <c r="D11" s="423">
        <v>0</v>
      </c>
      <c r="E11" s="423">
        <v>0</v>
      </c>
      <c r="F11" s="423">
        <v>0</v>
      </c>
      <c r="G11" s="423">
        <v>0</v>
      </c>
      <c r="H11" s="423">
        <v>0</v>
      </c>
      <c r="I11" s="423">
        <v>0</v>
      </c>
      <c r="J11" s="431">
        <v>0</v>
      </c>
    </row>
    <row r="12" spans="2:10" x14ac:dyDescent="0.25">
      <c r="B12" s="592" t="s">
        <v>152</v>
      </c>
      <c r="C12" s="593"/>
      <c r="D12" s="593"/>
      <c r="E12" s="593"/>
      <c r="F12" s="593"/>
      <c r="G12" s="593"/>
      <c r="H12" s="593"/>
      <c r="I12" s="593"/>
      <c r="J12" s="594"/>
    </row>
    <row r="13" spans="2:10" x14ac:dyDescent="0.25">
      <c r="B13" s="485" t="s">
        <v>182</v>
      </c>
      <c r="C13" s="423">
        <v>1</v>
      </c>
      <c r="D13" s="423">
        <v>4187</v>
      </c>
      <c r="E13" s="423">
        <v>87</v>
      </c>
      <c r="F13" s="423">
        <v>891</v>
      </c>
      <c r="G13" s="423">
        <v>1352</v>
      </c>
      <c r="H13" s="423">
        <v>2</v>
      </c>
      <c r="I13" s="423">
        <v>1</v>
      </c>
      <c r="J13" s="431">
        <v>1</v>
      </c>
    </row>
    <row r="14" spans="2:10" x14ac:dyDescent="0.25">
      <c r="B14" s="486" t="s">
        <v>153</v>
      </c>
      <c r="C14" s="423">
        <v>0</v>
      </c>
      <c r="D14" s="423">
        <v>0</v>
      </c>
      <c r="E14" s="423">
        <v>0</v>
      </c>
      <c r="F14" s="423">
        <v>0</v>
      </c>
      <c r="G14" s="423">
        <v>0</v>
      </c>
      <c r="H14" s="423">
        <v>0</v>
      </c>
      <c r="I14" s="423">
        <v>0</v>
      </c>
      <c r="J14" s="431">
        <v>0</v>
      </c>
    </row>
    <row r="15" spans="2:10" x14ac:dyDescent="0.25">
      <c r="B15" s="486" t="s">
        <v>178</v>
      </c>
      <c r="C15" s="423">
        <v>0</v>
      </c>
      <c r="D15" s="423">
        <v>0</v>
      </c>
      <c r="E15" s="423">
        <v>0</v>
      </c>
      <c r="F15" s="423">
        <v>0</v>
      </c>
      <c r="G15" s="423">
        <v>0</v>
      </c>
      <c r="H15" s="423">
        <v>0</v>
      </c>
      <c r="I15" s="423">
        <v>0</v>
      </c>
      <c r="J15" s="431">
        <v>0</v>
      </c>
    </row>
    <row r="16" spans="2:10" x14ac:dyDescent="0.25">
      <c r="B16" s="592" t="s">
        <v>154</v>
      </c>
      <c r="C16" s="593"/>
      <c r="D16" s="593"/>
      <c r="E16" s="593"/>
      <c r="F16" s="593"/>
      <c r="G16" s="593"/>
      <c r="H16" s="593"/>
      <c r="I16" s="593"/>
      <c r="J16" s="594"/>
    </row>
    <row r="17" spans="2:10" x14ac:dyDescent="0.25">
      <c r="B17" s="592" t="s">
        <v>155</v>
      </c>
      <c r="C17" s="593"/>
      <c r="D17" s="593"/>
      <c r="E17" s="593"/>
      <c r="F17" s="593"/>
      <c r="G17" s="593"/>
      <c r="H17" s="593"/>
      <c r="I17" s="593"/>
      <c r="J17" s="594"/>
    </row>
    <row r="18" spans="2:10" x14ac:dyDescent="0.25">
      <c r="B18" s="486" t="s">
        <v>156</v>
      </c>
      <c r="C18" s="423">
        <v>0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31">
        <v>0</v>
      </c>
    </row>
    <row r="19" spans="2:10" x14ac:dyDescent="0.25">
      <c r="B19" s="486" t="s">
        <v>157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10" x14ac:dyDescent="0.25">
      <c r="B20" s="592" t="s">
        <v>158</v>
      </c>
      <c r="C20" s="593"/>
      <c r="D20" s="593"/>
      <c r="E20" s="593"/>
      <c r="F20" s="593"/>
      <c r="G20" s="593"/>
      <c r="H20" s="593"/>
      <c r="I20" s="593"/>
      <c r="J20" s="594"/>
    </row>
    <row r="21" spans="2:10" x14ac:dyDescent="0.25">
      <c r="B21" s="485" t="s">
        <v>212</v>
      </c>
      <c r="C21" s="423">
        <v>1</v>
      </c>
      <c r="D21" s="423">
        <v>748</v>
      </c>
      <c r="E21" s="423">
        <v>41</v>
      </c>
      <c r="F21" s="423">
        <v>49</v>
      </c>
      <c r="G21" s="423">
        <v>97</v>
      </c>
      <c r="H21" s="423">
        <v>0</v>
      </c>
      <c r="I21" s="423">
        <v>1</v>
      </c>
      <c r="J21" s="431">
        <v>1</v>
      </c>
    </row>
    <row r="22" spans="2:10" x14ac:dyDescent="0.25">
      <c r="B22" s="592" t="s">
        <v>159</v>
      </c>
      <c r="C22" s="593"/>
      <c r="D22" s="593"/>
      <c r="E22" s="593"/>
      <c r="F22" s="593"/>
      <c r="G22" s="593"/>
      <c r="H22" s="593"/>
      <c r="I22" s="593"/>
      <c r="J22" s="594"/>
    </row>
    <row r="23" spans="2:10" x14ac:dyDescent="0.25">
      <c r="B23" s="485" t="s">
        <v>218</v>
      </c>
      <c r="C23" s="423">
        <v>1</v>
      </c>
      <c r="D23" s="423">
        <v>1373</v>
      </c>
      <c r="E23" s="423">
        <v>26</v>
      </c>
      <c r="F23" s="423">
        <v>0</v>
      </c>
      <c r="G23" s="423">
        <v>20</v>
      </c>
      <c r="H23" s="423">
        <v>0</v>
      </c>
      <c r="I23" s="423">
        <v>0</v>
      </c>
      <c r="J23" s="431">
        <v>0</v>
      </c>
    </row>
    <row r="24" spans="2:10" x14ac:dyDescent="0.25">
      <c r="B24" s="447" t="s">
        <v>115</v>
      </c>
      <c r="C24" s="447">
        <f>SUM(C11:C23)</f>
        <v>3</v>
      </c>
      <c r="D24" s="447">
        <f t="shared" ref="D24:J24" si="0">SUM(D11:D23)</f>
        <v>6308</v>
      </c>
      <c r="E24" s="447">
        <f t="shared" si="0"/>
        <v>154</v>
      </c>
      <c r="F24" s="447">
        <f t="shared" si="0"/>
        <v>940</v>
      </c>
      <c r="G24" s="447">
        <f t="shared" si="0"/>
        <v>1469</v>
      </c>
      <c r="H24" s="447">
        <f t="shared" si="0"/>
        <v>2</v>
      </c>
      <c r="I24" s="447">
        <f t="shared" si="0"/>
        <v>2</v>
      </c>
      <c r="J24" s="447">
        <f t="shared" si="0"/>
        <v>2</v>
      </c>
    </row>
  </sheetData>
  <mergeCells count="11">
    <mergeCell ref="B5:J5"/>
    <mergeCell ref="B2:J2"/>
    <mergeCell ref="I4:J4"/>
    <mergeCell ref="B7:B9"/>
    <mergeCell ref="C7:C9"/>
    <mergeCell ref="D7:D9"/>
    <mergeCell ref="E7:E9"/>
    <mergeCell ref="F7:F9"/>
    <mergeCell ref="G7:G9"/>
    <mergeCell ref="H7:H9"/>
    <mergeCell ref="I7:J8"/>
  </mergeCells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4"/>
  <sheetViews>
    <sheetView zoomScaleNormal="100" workbookViewId="0">
      <selection activeCell="L22" sqref="L22"/>
    </sheetView>
  </sheetViews>
  <sheetFormatPr defaultColWidth="9.140625" defaultRowHeight="12" x14ac:dyDescent="0.2"/>
  <cols>
    <col min="1" max="1" width="9.140625" style="161"/>
    <col min="2" max="2" width="17.85546875" style="161" customWidth="1"/>
    <col min="3" max="3" width="8" style="161" customWidth="1"/>
    <col min="4" max="4" width="9.85546875" style="161" customWidth="1"/>
    <col min="5" max="5" width="8.5703125" style="161" customWidth="1"/>
    <col min="6" max="6" width="9.42578125" style="161" customWidth="1"/>
    <col min="7" max="7" width="11.140625" style="161" customWidth="1"/>
    <col min="8" max="8" width="11.28515625" style="161" customWidth="1"/>
    <col min="9" max="9" width="7.28515625" style="161" customWidth="1"/>
    <col min="10" max="10" width="9.28515625" style="161" customWidth="1"/>
    <col min="11" max="16384" width="9.140625" style="161"/>
  </cols>
  <sheetData>
    <row r="2" spans="2:12" s="175" customFormat="1" ht="15.75" x14ac:dyDescent="0.25">
      <c r="B2" s="961" t="s">
        <v>177</v>
      </c>
      <c r="C2" s="961"/>
      <c r="D2" s="961"/>
      <c r="E2" s="961"/>
      <c r="F2" s="961"/>
      <c r="G2" s="961"/>
      <c r="H2" s="961"/>
      <c r="I2" s="961"/>
      <c r="J2" s="961"/>
    </row>
    <row r="3" spans="2:12" s="175" customFormat="1" ht="15.75" x14ac:dyDescent="0.25">
      <c r="B3" s="1005"/>
      <c r="C3" s="1005"/>
      <c r="D3" s="1005"/>
      <c r="E3" s="1005"/>
      <c r="F3" s="1005"/>
      <c r="G3" s="1005"/>
      <c r="H3" s="1005"/>
      <c r="I3" s="1005"/>
      <c r="J3" s="1005"/>
    </row>
    <row r="4" spans="2:12" s="175" customFormat="1" ht="15.75" x14ac:dyDescent="0.25">
      <c r="B4" s="174"/>
      <c r="I4" s="982" t="s">
        <v>283</v>
      </c>
      <c r="J4" s="982"/>
    </row>
    <row r="5" spans="2:12" s="175" customFormat="1" ht="15.75" x14ac:dyDescent="0.25">
      <c r="B5" s="963" t="s">
        <v>65</v>
      </c>
      <c r="C5" s="963"/>
      <c r="D5" s="963"/>
      <c r="E5" s="963"/>
      <c r="F5" s="963"/>
      <c r="G5" s="963"/>
      <c r="H5" s="963"/>
      <c r="I5" s="963"/>
      <c r="J5" s="963"/>
    </row>
    <row r="6" spans="2:12" x14ac:dyDescent="0.2">
      <c r="B6" s="423"/>
    </row>
    <row r="7" spans="2:12" s="425" customFormat="1" ht="11.25" x14ac:dyDescent="0.2">
      <c r="B7" s="968" t="s">
        <v>84</v>
      </c>
      <c r="C7" s="968" t="s">
        <v>85</v>
      </c>
      <c r="D7" s="968" t="s">
        <v>67</v>
      </c>
      <c r="E7" s="968" t="s">
        <v>68</v>
      </c>
      <c r="F7" s="968" t="s">
        <v>69</v>
      </c>
      <c r="G7" s="968" t="s">
        <v>70</v>
      </c>
      <c r="H7" s="968" t="s">
        <v>222</v>
      </c>
      <c r="I7" s="1001" t="s">
        <v>223</v>
      </c>
      <c r="J7" s="1002"/>
      <c r="K7" s="424"/>
      <c r="L7" s="424"/>
    </row>
    <row r="8" spans="2:12" s="425" customFormat="1" ht="11.25" x14ac:dyDescent="0.2">
      <c r="B8" s="969"/>
      <c r="C8" s="969"/>
      <c r="D8" s="969"/>
      <c r="E8" s="969"/>
      <c r="F8" s="969"/>
      <c r="G8" s="969"/>
      <c r="H8" s="969"/>
      <c r="I8" s="1003"/>
      <c r="J8" s="1004"/>
      <c r="K8" s="424"/>
      <c r="L8" s="424"/>
    </row>
    <row r="9" spans="2:12" s="425" customFormat="1" ht="11.25" x14ac:dyDescent="0.2">
      <c r="B9" s="970"/>
      <c r="C9" s="970"/>
      <c r="D9" s="970"/>
      <c r="E9" s="970"/>
      <c r="F9" s="970"/>
      <c r="G9" s="970"/>
      <c r="H9" s="970"/>
      <c r="I9" s="426" t="s">
        <v>73</v>
      </c>
      <c r="J9" s="427" t="s">
        <v>86</v>
      </c>
      <c r="K9" s="424"/>
      <c r="L9" s="424"/>
    </row>
    <row r="10" spans="2:12" s="425" customFormat="1" ht="11.25" x14ac:dyDescent="0.2">
      <c r="B10" s="190">
        <v>1</v>
      </c>
      <c r="C10" s="164">
        <v>2</v>
      </c>
      <c r="D10" s="164">
        <v>3</v>
      </c>
      <c r="E10" s="164">
        <v>4</v>
      </c>
      <c r="F10" s="164">
        <v>5</v>
      </c>
      <c r="G10" s="164">
        <v>6</v>
      </c>
      <c r="H10" s="164">
        <v>7</v>
      </c>
      <c r="I10" s="164">
        <v>8</v>
      </c>
      <c r="J10" s="164">
        <v>9</v>
      </c>
      <c r="K10" s="424"/>
      <c r="L10" s="424"/>
    </row>
    <row r="11" spans="2:12" x14ac:dyDescent="0.2">
      <c r="B11" s="428" t="s">
        <v>151</v>
      </c>
      <c r="C11" s="489">
        <v>0</v>
      </c>
      <c r="D11" s="423">
        <v>0</v>
      </c>
      <c r="E11" s="423">
        <v>0</v>
      </c>
      <c r="F11" s="423">
        <v>0</v>
      </c>
      <c r="G11" s="423">
        <v>0</v>
      </c>
      <c r="H11" s="423">
        <v>0</v>
      </c>
      <c r="I11" s="423">
        <v>0</v>
      </c>
      <c r="J11" s="431">
        <v>0</v>
      </c>
    </row>
    <row r="12" spans="2:12" x14ac:dyDescent="0.2">
      <c r="B12" s="592" t="s">
        <v>152</v>
      </c>
      <c r="C12" s="593"/>
      <c r="D12" s="593"/>
      <c r="E12" s="593"/>
      <c r="F12" s="593"/>
      <c r="G12" s="593"/>
      <c r="H12" s="593"/>
      <c r="I12" s="593"/>
      <c r="J12" s="594"/>
    </row>
    <row r="13" spans="2:12" x14ac:dyDescent="0.2">
      <c r="B13" s="485" t="s">
        <v>186</v>
      </c>
      <c r="C13" s="423">
        <v>1</v>
      </c>
      <c r="D13" s="423">
        <v>5086</v>
      </c>
      <c r="E13" s="423">
        <v>61</v>
      </c>
      <c r="F13" s="423">
        <v>548</v>
      </c>
      <c r="G13" s="423">
        <v>375</v>
      </c>
      <c r="H13" s="423">
        <v>0</v>
      </c>
      <c r="I13" s="423">
        <v>0</v>
      </c>
      <c r="J13" s="431">
        <v>0</v>
      </c>
    </row>
    <row r="14" spans="2:12" x14ac:dyDescent="0.2">
      <c r="B14" s="486" t="s">
        <v>153</v>
      </c>
      <c r="C14" s="423">
        <v>0</v>
      </c>
      <c r="D14" s="423">
        <v>0</v>
      </c>
      <c r="E14" s="423">
        <v>0</v>
      </c>
      <c r="F14" s="423">
        <v>0</v>
      </c>
      <c r="G14" s="423">
        <v>0</v>
      </c>
      <c r="H14" s="423">
        <v>0</v>
      </c>
      <c r="I14" s="423">
        <v>0</v>
      </c>
      <c r="J14" s="431">
        <v>0</v>
      </c>
    </row>
    <row r="15" spans="2:12" x14ac:dyDescent="0.2">
      <c r="B15" s="486" t="s">
        <v>178</v>
      </c>
      <c r="C15" s="423">
        <v>0</v>
      </c>
      <c r="D15" s="423">
        <v>0</v>
      </c>
      <c r="E15" s="423">
        <v>0</v>
      </c>
      <c r="F15" s="423">
        <v>0</v>
      </c>
      <c r="G15" s="423">
        <v>0</v>
      </c>
      <c r="H15" s="423">
        <v>0</v>
      </c>
      <c r="I15" s="423">
        <v>0</v>
      </c>
      <c r="J15" s="431">
        <v>0</v>
      </c>
    </row>
    <row r="16" spans="2:12" x14ac:dyDescent="0.2">
      <c r="B16" s="486" t="s">
        <v>154</v>
      </c>
      <c r="C16" s="423">
        <v>0</v>
      </c>
      <c r="D16" s="423">
        <v>0</v>
      </c>
      <c r="E16" s="423">
        <v>0</v>
      </c>
      <c r="F16" s="423">
        <v>0</v>
      </c>
      <c r="G16" s="423">
        <v>0</v>
      </c>
      <c r="H16" s="423">
        <v>0</v>
      </c>
      <c r="I16" s="423">
        <v>0</v>
      </c>
      <c r="J16" s="431">
        <v>0</v>
      </c>
    </row>
    <row r="17" spans="2:12" x14ac:dyDescent="0.2">
      <c r="B17" s="428" t="s">
        <v>155</v>
      </c>
      <c r="C17" s="430">
        <v>0</v>
      </c>
      <c r="D17" s="443">
        <v>0</v>
      </c>
      <c r="E17" s="443">
        <v>0</v>
      </c>
      <c r="F17" s="443">
        <v>0</v>
      </c>
      <c r="G17" s="443">
        <v>0</v>
      </c>
      <c r="H17" s="443">
        <v>0</v>
      </c>
      <c r="I17" s="443">
        <v>0</v>
      </c>
      <c r="J17" s="443">
        <v>0</v>
      </c>
      <c r="K17" s="437"/>
      <c r="L17" s="437"/>
    </row>
    <row r="18" spans="2:12" x14ac:dyDescent="0.2">
      <c r="B18" s="486" t="s">
        <v>156</v>
      </c>
      <c r="C18" s="423">
        <v>0</v>
      </c>
      <c r="D18" s="423">
        <v>0</v>
      </c>
      <c r="E18" s="423">
        <v>0</v>
      </c>
      <c r="F18" s="423">
        <v>0</v>
      </c>
      <c r="G18" s="423">
        <v>0</v>
      </c>
      <c r="H18" s="423">
        <v>0</v>
      </c>
      <c r="I18" s="423">
        <v>0</v>
      </c>
      <c r="J18" s="431">
        <v>0</v>
      </c>
    </row>
    <row r="19" spans="2:12" x14ac:dyDescent="0.2">
      <c r="B19" s="486" t="s">
        <v>157</v>
      </c>
      <c r="C19" s="423">
        <v>0</v>
      </c>
      <c r="D19" s="423">
        <v>0</v>
      </c>
      <c r="E19" s="423">
        <v>0</v>
      </c>
      <c r="F19" s="423">
        <v>0</v>
      </c>
      <c r="G19" s="423">
        <v>0</v>
      </c>
      <c r="H19" s="423">
        <v>0</v>
      </c>
      <c r="I19" s="423">
        <v>0</v>
      </c>
      <c r="J19" s="431">
        <v>0</v>
      </c>
    </row>
    <row r="20" spans="2:12" x14ac:dyDescent="0.2">
      <c r="B20" s="486" t="s">
        <v>158</v>
      </c>
      <c r="C20" s="423">
        <v>0</v>
      </c>
      <c r="D20" s="423">
        <v>0</v>
      </c>
      <c r="E20" s="423">
        <v>0</v>
      </c>
      <c r="F20" s="423">
        <v>0</v>
      </c>
      <c r="G20" s="423">
        <v>0</v>
      </c>
      <c r="H20" s="423">
        <v>0</v>
      </c>
      <c r="I20" s="423">
        <v>0</v>
      </c>
      <c r="J20" s="431">
        <v>0</v>
      </c>
    </row>
    <row r="21" spans="2:12" x14ac:dyDescent="0.2">
      <c r="B21" s="488" t="s">
        <v>159</v>
      </c>
      <c r="C21" s="423">
        <v>0</v>
      </c>
      <c r="D21" s="423">
        <v>0</v>
      </c>
      <c r="E21" s="423">
        <v>0</v>
      </c>
      <c r="F21" s="423">
        <v>0</v>
      </c>
      <c r="G21" s="423">
        <v>0</v>
      </c>
      <c r="H21" s="423">
        <v>0</v>
      </c>
      <c r="I21" s="423">
        <v>0</v>
      </c>
      <c r="J21" s="431">
        <v>0</v>
      </c>
    </row>
    <row r="22" spans="2:12" ht="18" customHeight="1" x14ac:dyDescent="0.2">
      <c r="B22" s="447" t="s">
        <v>115</v>
      </c>
      <c r="C22" s="447">
        <f>SUM(C11:C21)</f>
        <v>1</v>
      </c>
      <c r="D22" s="447">
        <f t="shared" ref="D22:J22" si="0">SUM(D11:D21)</f>
        <v>5086</v>
      </c>
      <c r="E22" s="447">
        <f t="shared" si="0"/>
        <v>61</v>
      </c>
      <c r="F22" s="447">
        <f t="shared" si="0"/>
        <v>548</v>
      </c>
      <c r="G22" s="447">
        <f t="shared" si="0"/>
        <v>375</v>
      </c>
      <c r="H22" s="447">
        <f t="shared" si="0"/>
        <v>0</v>
      </c>
      <c r="I22" s="447">
        <f t="shared" si="0"/>
        <v>0</v>
      </c>
      <c r="J22" s="447">
        <f t="shared" si="0"/>
        <v>0</v>
      </c>
    </row>
    <row r="23" spans="2:12" x14ac:dyDescent="0.2">
      <c r="B23" s="440"/>
    </row>
    <row r="24" spans="2:12" x14ac:dyDescent="0.2">
      <c r="B24" s="440"/>
    </row>
    <row r="25" spans="2:12" x14ac:dyDescent="0.2">
      <c r="B25" s="440"/>
    </row>
    <row r="26" spans="2:12" x14ac:dyDescent="0.2">
      <c r="B26" s="440"/>
    </row>
    <row r="27" spans="2:12" x14ac:dyDescent="0.2">
      <c r="B27" s="440"/>
    </row>
    <row r="28" spans="2:12" x14ac:dyDescent="0.2">
      <c r="B28" s="440"/>
    </row>
    <row r="29" spans="2:12" x14ac:dyDescent="0.2">
      <c r="B29" s="440"/>
    </row>
    <row r="30" spans="2:12" x14ac:dyDescent="0.2">
      <c r="B30" s="440"/>
    </row>
    <row r="31" spans="2:12" x14ac:dyDescent="0.2">
      <c r="B31" s="440"/>
    </row>
    <row r="32" spans="2:12" x14ac:dyDescent="0.2">
      <c r="B32" s="440"/>
    </row>
    <row r="33" spans="2:2" x14ac:dyDescent="0.2">
      <c r="B33" s="440"/>
    </row>
    <row r="34" spans="2:2" x14ac:dyDescent="0.2">
      <c r="B34" s="440"/>
    </row>
    <row r="35" spans="2:2" x14ac:dyDescent="0.2">
      <c r="B35" s="440"/>
    </row>
    <row r="36" spans="2:2" x14ac:dyDescent="0.2">
      <c r="B36" s="440"/>
    </row>
    <row r="37" spans="2:2" x14ac:dyDescent="0.2">
      <c r="B37" s="440"/>
    </row>
    <row r="38" spans="2:2" x14ac:dyDescent="0.2">
      <c r="B38" s="440"/>
    </row>
    <row r="39" spans="2:2" x14ac:dyDescent="0.2">
      <c r="B39" s="440"/>
    </row>
    <row r="40" spans="2:2" x14ac:dyDescent="0.2">
      <c r="B40" s="440"/>
    </row>
    <row r="41" spans="2:2" x14ac:dyDescent="0.2">
      <c r="B41" s="440"/>
    </row>
    <row r="42" spans="2:2" x14ac:dyDescent="0.2">
      <c r="B42" s="440"/>
    </row>
    <row r="43" spans="2:2" x14ac:dyDescent="0.2">
      <c r="B43" s="440"/>
    </row>
    <row r="44" spans="2:2" x14ac:dyDescent="0.2">
      <c r="B44" s="440"/>
    </row>
    <row r="45" spans="2:2" x14ac:dyDescent="0.2">
      <c r="B45" s="440"/>
    </row>
    <row r="46" spans="2:2" x14ac:dyDescent="0.2">
      <c r="B46" s="440"/>
    </row>
    <row r="47" spans="2:2" x14ac:dyDescent="0.2">
      <c r="B47" s="440"/>
    </row>
    <row r="48" spans="2:2" x14ac:dyDescent="0.2">
      <c r="B48" s="440"/>
    </row>
    <row r="49" spans="2:2" x14ac:dyDescent="0.2">
      <c r="B49" s="440"/>
    </row>
    <row r="50" spans="2:2" x14ac:dyDescent="0.2">
      <c r="B50" s="440"/>
    </row>
    <row r="51" spans="2:2" x14ac:dyDescent="0.2">
      <c r="B51" s="440"/>
    </row>
    <row r="52" spans="2:2" x14ac:dyDescent="0.2">
      <c r="B52" s="440"/>
    </row>
    <row r="53" spans="2:2" x14ac:dyDescent="0.2">
      <c r="B53" s="440"/>
    </row>
    <row r="54" spans="2:2" x14ac:dyDescent="0.2">
      <c r="B54" s="440"/>
    </row>
    <row r="55" spans="2:2" x14ac:dyDescent="0.2">
      <c r="B55" s="440"/>
    </row>
    <row r="56" spans="2:2" x14ac:dyDescent="0.2">
      <c r="B56" s="440"/>
    </row>
    <row r="57" spans="2:2" x14ac:dyDescent="0.2">
      <c r="B57" s="440"/>
    </row>
    <row r="58" spans="2:2" x14ac:dyDescent="0.2">
      <c r="B58" s="440"/>
    </row>
    <row r="59" spans="2:2" x14ac:dyDescent="0.2">
      <c r="B59" s="440"/>
    </row>
    <row r="60" spans="2:2" x14ac:dyDescent="0.2">
      <c r="B60" s="440"/>
    </row>
    <row r="61" spans="2:2" x14ac:dyDescent="0.2">
      <c r="B61" s="440"/>
    </row>
    <row r="62" spans="2:2" x14ac:dyDescent="0.2">
      <c r="B62" s="440"/>
    </row>
    <row r="63" spans="2:2" x14ac:dyDescent="0.2">
      <c r="B63" s="440"/>
    </row>
    <row r="64" spans="2:2" x14ac:dyDescent="0.2">
      <c r="B64" s="440"/>
    </row>
    <row r="65" spans="2:2" x14ac:dyDescent="0.2">
      <c r="B65" s="440"/>
    </row>
    <row r="66" spans="2:2" x14ac:dyDescent="0.2">
      <c r="B66" s="440"/>
    </row>
    <row r="67" spans="2:2" x14ac:dyDescent="0.2">
      <c r="B67" s="440"/>
    </row>
    <row r="68" spans="2:2" x14ac:dyDescent="0.2">
      <c r="B68" s="440"/>
    </row>
    <row r="69" spans="2:2" x14ac:dyDescent="0.2">
      <c r="B69" s="440"/>
    </row>
    <row r="70" spans="2:2" x14ac:dyDescent="0.2">
      <c r="B70" s="440"/>
    </row>
    <row r="71" spans="2:2" x14ac:dyDescent="0.2">
      <c r="B71" s="440"/>
    </row>
    <row r="72" spans="2:2" x14ac:dyDescent="0.2">
      <c r="B72" s="440"/>
    </row>
    <row r="73" spans="2:2" x14ac:dyDescent="0.2">
      <c r="B73" s="440"/>
    </row>
    <row r="74" spans="2:2" x14ac:dyDescent="0.2">
      <c r="B74" s="440"/>
    </row>
    <row r="75" spans="2:2" x14ac:dyDescent="0.2">
      <c r="B75" s="440"/>
    </row>
    <row r="76" spans="2:2" x14ac:dyDescent="0.2">
      <c r="B76" s="440"/>
    </row>
    <row r="77" spans="2:2" x14ac:dyDescent="0.2">
      <c r="B77" s="440"/>
    </row>
    <row r="78" spans="2:2" x14ac:dyDescent="0.2">
      <c r="B78" s="440"/>
    </row>
    <row r="79" spans="2:2" x14ac:dyDescent="0.2">
      <c r="B79" s="440"/>
    </row>
    <row r="80" spans="2:2" x14ac:dyDescent="0.2">
      <c r="B80" s="440"/>
    </row>
    <row r="81" spans="2:2" x14ac:dyDescent="0.2">
      <c r="B81" s="440"/>
    </row>
    <row r="82" spans="2:2" x14ac:dyDescent="0.2">
      <c r="B82" s="440"/>
    </row>
    <row r="83" spans="2:2" x14ac:dyDescent="0.2">
      <c r="B83" s="440"/>
    </row>
    <row r="84" spans="2:2" x14ac:dyDescent="0.2">
      <c r="B84" s="440"/>
    </row>
  </sheetData>
  <mergeCells count="12">
    <mergeCell ref="H7:H9"/>
    <mergeCell ref="I7:J8"/>
    <mergeCell ref="B2:J2"/>
    <mergeCell ref="B3:J3"/>
    <mergeCell ref="I4:J4"/>
    <mergeCell ref="B5:J5"/>
    <mergeCell ref="B7:B9"/>
    <mergeCell ref="C7:C9"/>
    <mergeCell ref="D7:D9"/>
    <mergeCell ref="E7:E9"/>
    <mergeCell ref="F7:F9"/>
    <mergeCell ref="G7:G9"/>
  </mergeCells>
  <pageMargins left="1" right="0.75" top="1" bottom="1" header="0" footer="0"/>
  <pageSetup paperSize="9" scale="8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Darbalapiai</vt:lpstr>
      </vt:variant>
      <vt:variant>
        <vt:i4>35</vt:i4>
      </vt:variant>
      <vt:variant>
        <vt:lpstr>Įvardinti diapazonai</vt:lpstr>
      </vt:variant>
      <vt:variant>
        <vt:i4>2</vt:i4>
      </vt:variant>
    </vt:vector>
  </HeadingPairs>
  <TitlesOfParts>
    <vt:vector size="37" baseType="lpstr">
      <vt:lpstr>BENDROJI</vt:lpstr>
      <vt:lpstr>LNB_LAB_AVB</vt:lpstr>
      <vt:lpstr>SAVIVALDYBIŲ VIEŠOSIOS</vt:lpstr>
      <vt:lpstr>VIEŠOSIOS</vt:lpstr>
      <vt:lpstr>MIESTŲ_FIL</vt:lpstr>
      <vt:lpstr>KAIMO_FIL</vt:lpstr>
      <vt:lpstr>VAIKŲ_FIL</vt:lpstr>
      <vt:lpstr>FILIALAI SU MOKYKLOMIS</vt:lpstr>
      <vt:lpstr>MUZIEJŲ, KULTŪROS ĮSTAIGŲ</vt:lpstr>
      <vt:lpstr>LMAB,LMIB</vt:lpstr>
      <vt:lpstr>SPECIALIOSIOS</vt:lpstr>
      <vt:lpstr>AMB_VALSTB_NEVALSTB</vt:lpstr>
      <vt:lpstr>VALST_AMB_KB</vt:lpstr>
      <vt:lpstr>VALST_UB</vt:lpstr>
      <vt:lpstr>VALSTB_KB</vt:lpstr>
      <vt:lpstr>NEVALST_AMB_KB</vt:lpstr>
      <vt:lpstr>NEVALST_AMB</vt:lpstr>
      <vt:lpstr>NEVALST_KB</vt:lpstr>
      <vt:lpstr>PROFESINIŲ_MOKYKLŲ</vt:lpstr>
      <vt:lpstr>ŠĮB</vt:lpstr>
      <vt:lpstr>SAV+VALST+NEVALST</vt:lpstr>
      <vt:lpstr>SAV_BUMB</vt:lpstr>
      <vt:lpstr>GIMNAZIJŲ</vt:lpstr>
      <vt:lpstr>PROGIMNAZIJŲ</vt:lpstr>
      <vt:lpstr>PAGRINDINIŲ</vt:lpstr>
      <vt:lpstr>PRADINIŲ</vt:lpstr>
      <vt:lpstr>VALST_BUMB</vt:lpstr>
      <vt:lpstr>VALST_GB</vt:lpstr>
      <vt:lpstr>VALST_PGMB</vt:lpstr>
      <vt:lpstr>NEVALST_BUMB</vt:lpstr>
      <vt:lpstr>NEVALST_GB</vt:lpstr>
      <vt:lpstr>NVŠĮB</vt:lpstr>
      <vt:lpstr>PŠCB</vt:lpstr>
      <vt:lpstr>ŠPTB</vt:lpstr>
      <vt:lpstr>VGNB</vt:lpstr>
      <vt:lpstr>NVŠĮB!Print_Area</vt:lpstr>
      <vt:lpstr>ŠPTB!Print_Area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Eglė Dikavičienė</dc:creator>
  <cp:lastModifiedBy>Eglė Dikavičienė</cp:lastModifiedBy>
  <cp:lastPrinted>2023-03-01T15:01:46Z</cp:lastPrinted>
  <dcterms:created xsi:type="dcterms:W3CDTF">2020-02-11T08:32:24Z</dcterms:created>
  <dcterms:modified xsi:type="dcterms:W3CDTF">2023-06-13T07:46:25Z</dcterms:modified>
</cp:coreProperties>
</file>